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Diseño, Redes E IA\2025-2\"/>
    </mc:Choice>
  </mc:AlternateContent>
  <xr:revisionPtr revIDLastSave="0" documentId="13_ncr:1_{823FE1D1-9412-4154-BCB6-18A4FCC32AEB}" xr6:coauthVersionLast="47" xr6:coauthVersionMax="47" xr10:uidLastSave="{00000000-0000-0000-0000-000000000000}"/>
  <bookViews>
    <workbookView xWindow="11520" yWindow="0" windowWidth="11520" windowHeight="12360" firstSheet="33" activeTab="35" xr2:uid="{00000000-000D-0000-FFFF-FFFF00000000}"/>
  </bookViews>
  <sheets>
    <sheet name="Datos_Completos" sheetId="46" r:id="rId1"/>
    <sheet name="ALFARO LINARES SANDRA" sheetId="1" r:id="rId2"/>
    <sheet name="BAEZA FLORES MARIA DEL CARMEN" sheetId="2" r:id="rId3"/>
    <sheet name="CRUZ GARCIA MISAEL" sheetId="45" r:id="rId4"/>
    <sheet name="GARCIA TRINIDAD ENRIQUE" sheetId="5" r:id="rId5"/>
    <sheet name="GOMEZ GONZALEZ JORGE" sheetId="6" r:id="rId6"/>
    <sheet name="GONZALEZ GARCIA VERONICA" sheetId="7" r:id="rId7"/>
    <sheet name="IBARRA VAZQUEZ JESSICA DANIELA" sheetId="9" r:id="rId8"/>
    <sheet name="INFANTE DE LA FUENTE JUAN GABRI" sheetId="10" r:id="rId9"/>
    <sheet name="ISLAS GONZALEZ YUNUEN" sheetId="11" r:id="rId10"/>
    <sheet name="LANDIN HERREJON JOSE LUIS GUSTA" sheetId="12" r:id="rId11"/>
    <sheet name="LIMA ARRONA FERNANDO" sheetId="13" r:id="rId12"/>
    <sheet name="MALDONADO GUERRERO ALHAN GERARD" sheetId="14" r:id="rId13"/>
    <sheet name="MARTINEZ VEGA FERMIN" sheetId="16" r:id="rId14"/>
    <sheet name="MENDOZA CALVA HECTOR RAUL" sheetId="17" r:id="rId15"/>
    <sheet name="MONROY TREJO ALEJANDRO" sheetId="18" r:id="rId16"/>
    <sheet name="MURGUIA GONZALEZ CYNTHIA BEATRI" sheetId="21" r:id="rId17"/>
    <sheet name="OLMOS OLALDE VICTOR HUGO" sheetId="22" r:id="rId18"/>
    <sheet name="ORDOÑEZ MORALES LUIS MARTIN" sheetId="23" r:id="rId19"/>
    <sheet name="PEREZ SANCHEZ RAFAEL" sheetId="24" r:id="rId20"/>
    <sheet name="RAMOS GAMA JOSELYN KAREN" sheetId="25" r:id="rId21"/>
    <sheet name="RODRIGUEZ RIVERA NAYELI BERENIC" sheetId="26" r:id="rId22"/>
    <sheet name="RODRIGUEZ SANCHEZ LUIS FERNANDO" sheetId="27" r:id="rId23"/>
    <sheet name="ROJAS DIEGO RAUL" sheetId="28" r:id="rId24"/>
    <sheet name="ROSAS DUARTE ROSA RUTH" sheetId="30" r:id="rId25"/>
    <sheet name="SERRANO SILVA IVAN ENRIQUE" sheetId="32" r:id="rId26"/>
    <sheet name="TIRADOR GOMEZ DANIELA LIZETH" sheetId="33" r:id="rId27"/>
    <sheet name="TORRES HERNANDEZ LUIS ENRIQUE" sheetId="34" r:id="rId28"/>
    <sheet name="TORRES RODRIGUEZ KATHERINNE ARA" sheetId="35" r:id="rId29"/>
    <sheet name="VALADEZ VARGAS ALEJANDRO" sheetId="36" r:id="rId30"/>
    <sheet name="VARELA OLMOS VIOLETA" sheetId="37" r:id="rId31"/>
    <sheet name="VILLA CUETO MA. ISABEL" sheetId="39" r:id="rId32"/>
    <sheet name="ZAMACONA PRADO NAYELI" sheetId="40" r:id="rId33"/>
    <sheet name="z_1_PLANTILLA" sheetId="41" r:id="rId34"/>
    <sheet name="z_2_Maestros" sheetId="42" r:id="rId35"/>
    <sheet name="z_3_Materias" sheetId="43" r:id="rId36"/>
  </sheets>
  <definedNames>
    <definedName name="_xlnm.Print_Area" localSheetId="1">'ALFARO LINARES SANDRA'!$A$1:$S$51</definedName>
    <definedName name="_xlnm.Print_Area" localSheetId="2">'BAEZA FLORES MARIA DEL CARMEN'!$A$1:$S$51</definedName>
    <definedName name="_xlnm.Print_Area" localSheetId="3">'CRUZ GARCIA MISAEL'!$A$1:$S$51</definedName>
    <definedName name="_xlnm.Print_Area" localSheetId="4">'GARCIA TRINIDAD ENRIQUE'!$A$1:$S$51</definedName>
    <definedName name="_xlnm.Print_Area" localSheetId="5">'GOMEZ GONZALEZ JORGE'!$A$1:$S$51</definedName>
    <definedName name="_xlnm.Print_Area" localSheetId="6">'GONZALEZ GARCIA VERONICA'!$A$1:$S$51</definedName>
    <definedName name="_xlnm.Print_Area" localSheetId="7">'IBARRA VAZQUEZ JESSICA DANIELA'!$A$1:$S$51</definedName>
    <definedName name="_xlnm.Print_Area" localSheetId="8">'INFANTE DE LA FUENTE JUAN GABRI'!$A$1:$S$51</definedName>
    <definedName name="_xlnm.Print_Area" localSheetId="9">'ISLAS GONZALEZ YUNUEN'!$A$1:$S$51</definedName>
    <definedName name="_xlnm.Print_Area" localSheetId="10">'LANDIN HERREJON JOSE LUIS GUSTA'!$A$1:$S$51</definedName>
    <definedName name="_xlnm.Print_Area" localSheetId="11">'LIMA ARRONA FERNANDO'!$A$1:$S$51</definedName>
    <definedName name="_xlnm.Print_Area" localSheetId="12">'MALDONADO GUERRERO ALHAN GERARD'!$A$1:$S$51</definedName>
    <definedName name="_xlnm.Print_Area" localSheetId="13">'MARTINEZ VEGA FERMIN'!$A$1:$S$51</definedName>
    <definedName name="_xlnm.Print_Area" localSheetId="14">'MENDOZA CALVA HECTOR RAUL'!$A$1:$S$51</definedName>
    <definedName name="_xlnm.Print_Area" localSheetId="15">'MONROY TREJO ALEJANDRO'!$A$1:$S$51</definedName>
    <definedName name="_xlnm.Print_Area" localSheetId="16">'MURGUIA GONZALEZ CYNTHIA BEATRI'!$A$1:$S$51</definedName>
    <definedName name="_xlnm.Print_Area" localSheetId="17">'OLMOS OLALDE VICTOR HUGO'!$A$1:$S$51</definedName>
    <definedName name="_xlnm.Print_Area" localSheetId="18">'ORDOÑEZ MORALES LUIS MARTIN'!$A$1:$S$51</definedName>
    <definedName name="_xlnm.Print_Area" localSheetId="19">'PEREZ SANCHEZ RAFAEL'!$A$1:$S$51</definedName>
    <definedName name="_xlnm.Print_Area" localSheetId="20">'RAMOS GAMA JOSELYN KAREN'!$A$1:$S$53</definedName>
    <definedName name="_xlnm.Print_Area" localSheetId="21">'RODRIGUEZ RIVERA NAYELI BERENIC'!$A$1:$S$51</definedName>
    <definedName name="_xlnm.Print_Area" localSheetId="22">'RODRIGUEZ SANCHEZ LUIS FERNANDO'!$A$1:$S$51</definedName>
    <definedName name="_xlnm.Print_Area" localSheetId="23">'ROJAS DIEGO RAUL'!$A$1:$S$51</definedName>
    <definedName name="_xlnm.Print_Area" localSheetId="24">'ROSAS DUARTE ROSA RUTH'!$A$1:$S$51</definedName>
    <definedName name="_xlnm.Print_Area" localSheetId="25">'SERRANO SILVA IVAN ENRIQUE'!$A$1:$S$51</definedName>
    <definedName name="_xlnm.Print_Area" localSheetId="26">'TIRADOR GOMEZ DANIELA LIZETH'!$A$1:$S$51</definedName>
    <definedName name="_xlnm.Print_Area" localSheetId="27">'TORRES HERNANDEZ LUIS ENRIQUE'!$A$1:$S$51</definedName>
    <definedName name="_xlnm.Print_Area" localSheetId="28">'TORRES RODRIGUEZ KATHERINNE ARA'!$A$1:$S$51</definedName>
    <definedName name="_xlnm.Print_Area" localSheetId="29">'VALADEZ VARGAS ALEJANDRO'!$A$1:$S$51</definedName>
    <definedName name="_xlnm.Print_Area" localSheetId="30">'VARELA OLMOS VIOLETA'!$A$1:$S$52</definedName>
    <definedName name="_xlnm.Print_Area" localSheetId="31">'VILLA CUETO MA. ISABEL'!$A$1:$S$51</definedName>
    <definedName name="_xlnm.Print_Area" localSheetId="32">'ZAMACONA PRADO NAYELI'!$A$1:$S$51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7" roundtripDataChecksum="TWQcNx/dH0mW2IThVcH3EGx+aF7+zR6+JsqLMr3XyjA="/>
    </ext>
  </extLst>
</workbook>
</file>

<file path=xl/calcChain.xml><?xml version="1.0" encoding="utf-8"?>
<calcChain xmlns="http://schemas.openxmlformats.org/spreadsheetml/2006/main">
  <c r="N23" i="45" l="1" a="1"/>
  <c r="N23" i="45" s="1"/>
  <c r="N22" i="45" a="1"/>
  <c r="N22" i="45" s="1"/>
  <c r="N21" i="45" a="1"/>
  <c r="N21" i="45" s="1"/>
  <c r="N20" i="45" a="1"/>
  <c r="N20" i="45" s="1"/>
  <c r="N19" i="45" a="1"/>
  <c r="N19" i="45" s="1"/>
  <c r="N18" i="45" a="1"/>
  <c r="N18" i="45" s="1"/>
  <c r="N17" i="45" a="1"/>
  <c r="N17" i="45" s="1"/>
  <c r="N16" i="45" a="1"/>
  <c r="N16" i="45" s="1"/>
  <c r="N15" i="45" a="1"/>
  <c r="N15" i="45" s="1"/>
  <c r="N24" i="25" l="1" a="1"/>
  <c r="N24" i="25" s="1"/>
  <c r="L24" i="25" a="1"/>
  <c r="L24" i="25" s="1"/>
  <c r="N46" i="45"/>
  <c r="T23" i="45"/>
  <c r="L23" i="45" a="1"/>
  <c r="L23" i="45" s="1"/>
  <c r="T22" i="45"/>
  <c r="L22" i="45" a="1"/>
  <c r="L22" i="45" s="1"/>
  <c r="T21" i="45"/>
  <c r="L21" i="45" a="1"/>
  <c r="L21" i="45" s="1"/>
  <c r="T20" i="45"/>
  <c r="L20" i="45" a="1"/>
  <c r="L20" i="45" s="1"/>
  <c r="T19" i="45"/>
  <c r="L19" i="45" a="1"/>
  <c r="L19" i="45" s="1"/>
  <c r="T18" i="45"/>
  <c r="L18" i="45" a="1"/>
  <c r="L18" i="45" s="1"/>
  <c r="T17" i="45"/>
  <c r="L17" i="45" a="1"/>
  <c r="L17" i="45" s="1"/>
  <c r="T16" i="45"/>
  <c r="L16" i="45" a="1"/>
  <c r="L16" i="45" s="1"/>
  <c r="T15" i="45"/>
  <c r="L15" i="45" a="1"/>
  <c r="L15" i="45" s="1"/>
  <c r="R15" i="45" l="1"/>
  <c r="L16" i="23" a="1"/>
  <c r="L16" i="23" s="1"/>
  <c r="T16" i="25"/>
  <c r="T17" i="25"/>
  <c r="T18" i="25"/>
  <c r="T19" i="25"/>
  <c r="T20" i="25"/>
  <c r="T21" i="25"/>
  <c r="T22" i="25"/>
  <c r="T23" i="25"/>
  <c r="T25" i="25"/>
  <c r="N23" i="25" a="1"/>
  <c r="N23" i="25" s="1"/>
  <c r="L23" i="25" a="1"/>
  <c r="L23" i="25" s="1"/>
  <c r="T16" i="12"/>
  <c r="T17" i="12"/>
  <c r="T18" i="12"/>
  <c r="T19" i="12"/>
  <c r="T20" i="12"/>
  <c r="T21" i="12"/>
  <c r="T22" i="12"/>
  <c r="T23" i="12"/>
  <c r="N23" i="12" a="1"/>
  <c r="N23" i="12" s="1"/>
  <c r="N22" i="12" a="1"/>
  <c r="N22" i="12" s="1"/>
  <c r="N21" i="12" a="1"/>
  <c r="N21" i="12" s="1"/>
  <c r="N20" i="12" a="1"/>
  <c r="N20" i="12" s="1"/>
  <c r="N19" i="12" a="1"/>
  <c r="N19" i="12" s="1"/>
  <c r="N18" i="12" a="1"/>
  <c r="N18" i="12" s="1"/>
  <c r="N17" i="12" a="1"/>
  <c r="N17" i="12" s="1"/>
  <c r="N16" i="12" a="1"/>
  <c r="N16" i="12" s="1"/>
  <c r="N15" i="12" a="1"/>
  <c r="N15" i="12" s="1"/>
  <c r="L23" i="12" a="1"/>
  <c r="L23" i="12" s="1"/>
  <c r="L22" i="12" a="1"/>
  <c r="L22" i="12" s="1"/>
  <c r="L21" i="12" a="1"/>
  <c r="L21" i="12" s="1"/>
  <c r="L20" i="12" a="1"/>
  <c r="L20" i="12" s="1"/>
  <c r="L19" i="12" a="1"/>
  <c r="L19" i="12" s="1"/>
  <c r="L18" i="12" a="1"/>
  <c r="L18" i="12" s="1"/>
  <c r="L17" i="12" a="1"/>
  <c r="L17" i="12" s="1"/>
  <c r="L16" i="12" a="1"/>
  <c r="L16" i="12" s="1"/>
  <c r="L15" i="12" a="1"/>
  <c r="L15" i="12" s="1"/>
  <c r="N46" i="41"/>
  <c r="T23" i="41"/>
  <c r="N23" i="41" a="1"/>
  <c r="N23" i="41" s="1"/>
  <c r="L23" i="41" a="1"/>
  <c r="L23" i="41" s="1"/>
  <c r="T22" i="41"/>
  <c r="N22" i="41" a="1"/>
  <c r="N22" i="41" s="1"/>
  <c r="L22" i="41" a="1"/>
  <c r="L22" i="41" s="1"/>
  <c r="T21" i="41"/>
  <c r="N21" i="41" a="1"/>
  <c r="N21" i="41" s="1"/>
  <c r="L21" i="41" a="1"/>
  <c r="L21" i="41" s="1"/>
  <c r="T20" i="41"/>
  <c r="N20" i="41" a="1"/>
  <c r="N20" i="41" s="1"/>
  <c r="L20" i="41" a="1"/>
  <c r="L20" i="41" s="1"/>
  <c r="T19" i="41"/>
  <c r="N19" i="41" a="1"/>
  <c r="N19" i="41" s="1"/>
  <c r="L19" i="41" a="1"/>
  <c r="L19" i="41" s="1"/>
  <c r="T18" i="41"/>
  <c r="N18" i="41" a="1"/>
  <c r="N18" i="41" s="1"/>
  <c r="L18" i="41" a="1"/>
  <c r="L18" i="41" s="1"/>
  <c r="T17" i="41"/>
  <c r="N17" i="41" a="1"/>
  <c r="N17" i="41" s="1"/>
  <c r="L17" i="41" a="1"/>
  <c r="L17" i="41" s="1"/>
  <c r="T16" i="41"/>
  <c r="N16" i="41" a="1"/>
  <c r="N16" i="41" s="1"/>
  <c r="L16" i="41" a="1"/>
  <c r="L16" i="41" s="1"/>
  <c r="T15" i="41"/>
  <c r="N15" i="41" a="1"/>
  <c r="N15" i="41" s="1"/>
  <c r="L15" i="41" a="1"/>
  <c r="L15" i="41" s="1"/>
  <c r="N46" i="40"/>
  <c r="T23" i="40"/>
  <c r="N23" i="40" a="1"/>
  <c r="N23" i="40" s="1"/>
  <c r="L23" i="40" a="1"/>
  <c r="L23" i="40" s="1"/>
  <c r="T22" i="40"/>
  <c r="N22" i="40" a="1"/>
  <c r="N22" i="40" s="1"/>
  <c r="L22" i="40" a="1"/>
  <c r="L22" i="40" s="1"/>
  <c r="T21" i="40"/>
  <c r="N21" i="40" a="1"/>
  <c r="N21" i="40" s="1"/>
  <c r="L21" i="40" a="1"/>
  <c r="L21" i="40" s="1"/>
  <c r="T20" i="40"/>
  <c r="N20" i="40" a="1"/>
  <c r="N20" i="40" s="1"/>
  <c r="L20" i="40" a="1"/>
  <c r="L20" i="40" s="1"/>
  <c r="T19" i="40"/>
  <c r="N19" i="40" a="1"/>
  <c r="N19" i="40" s="1"/>
  <c r="L19" i="40" a="1"/>
  <c r="L19" i="40" s="1"/>
  <c r="T18" i="40"/>
  <c r="N18" i="40" a="1"/>
  <c r="N18" i="40" s="1"/>
  <c r="L18" i="40" a="1"/>
  <c r="L18" i="40" s="1"/>
  <c r="T17" i="40"/>
  <c r="N17" i="40" a="1"/>
  <c r="N17" i="40" s="1"/>
  <c r="L17" i="40" a="1"/>
  <c r="L17" i="40" s="1"/>
  <c r="T16" i="40"/>
  <c r="N16" i="40" a="1"/>
  <c r="N16" i="40" s="1"/>
  <c r="L16" i="40" a="1"/>
  <c r="L16" i="40" s="1"/>
  <c r="T15" i="40"/>
  <c r="N46" i="39"/>
  <c r="T23" i="39"/>
  <c r="N23" i="39" a="1"/>
  <c r="N23" i="39" s="1"/>
  <c r="L23" i="39" a="1"/>
  <c r="L23" i="39" s="1"/>
  <c r="T22" i="39"/>
  <c r="N22" i="39" a="1"/>
  <c r="N22" i="39" s="1"/>
  <c r="L22" i="39" a="1"/>
  <c r="L22" i="39" s="1"/>
  <c r="T21" i="39"/>
  <c r="N21" i="39" a="1"/>
  <c r="N21" i="39" s="1"/>
  <c r="L21" i="39" a="1"/>
  <c r="L21" i="39" s="1"/>
  <c r="T20" i="39"/>
  <c r="N20" i="39" a="1"/>
  <c r="N20" i="39" s="1"/>
  <c r="L20" i="39" a="1"/>
  <c r="L20" i="39" s="1"/>
  <c r="T19" i="39"/>
  <c r="N19" i="39" a="1"/>
  <c r="N19" i="39" s="1"/>
  <c r="L19" i="39" a="1"/>
  <c r="L19" i="39" s="1"/>
  <c r="T18" i="39"/>
  <c r="T17" i="39"/>
  <c r="N17" i="39" a="1"/>
  <c r="N17" i="39" s="1"/>
  <c r="L17" i="39" a="1"/>
  <c r="L17" i="39" s="1"/>
  <c r="T16" i="39"/>
  <c r="N16" i="39" a="1"/>
  <c r="N16" i="39" s="1"/>
  <c r="L16" i="39" a="1"/>
  <c r="L16" i="39" s="1"/>
  <c r="T15" i="39"/>
  <c r="N15" i="39" a="1"/>
  <c r="N15" i="39" s="1"/>
  <c r="L15" i="39" a="1"/>
  <c r="L15" i="39" s="1"/>
  <c r="N46" i="37"/>
  <c r="T23" i="37"/>
  <c r="N23" i="37" a="1"/>
  <c r="N23" i="37" s="1"/>
  <c r="L23" i="37" a="1"/>
  <c r="L23" i="37" s="1"/>
  <c r="T22" i="37"/>
  <c r="N22" i="37" a="1"/>
  <c r="N22" i="37" s="1"/>
  <c r="L22" i="37" a="1"/>
  <c r="L22" i="37" s="1"/>
  <c r="T21" i="37"/>
  <c r="N21" i="37" a="1"/>
  <c r="N21" i="37" s="1"/>
  <c r="L21" i="37" a="1"/>
  <c r="L21" i="37" s="1"/>
  <c r="T20" i="37"/>
  <c r="N20" i="37" a="1"/>
  <c r="N20" i="37" s="1"/>
  <c r="L20" i="37" a="1"/>
  <c r="L20" i="37" s="1"/>
  <c r="T19" i="37"/>
  <c r="N19" i="37" a="1"/>
  <c r="N19" i="37" s="1"/>
  <c r="L19" i="37" a="1"/>
  <c r="L19" i="37" s="1"/>
  <c r="T18" i="37"/>
  <c r="N18" i="37" a="1"/>
  <c r="N18" i="37" s="1"/>
  <c r="T17" i="37"/>
  <c r="N17" i="37" a="1"/>
  <c r="N17" i="37" s="1"/>
  <c r="T16" i="37"/>
  <c r="N16" i="37" a="1"/>
  <c r="N16" i="37" s="1"/>
  <c r="L16" i="37" a="1"/>
  <c r="L16" i="37" s="1"/>
  <c r="T15" i="37"/>
  <c r="N15" i="37" a="1"/>
  <c r="N15" i="37" s="1"/>
  <c r="L15" i="37" a="1"/>
  <c r="L15" i="37" s="1"/>
  <c r="N46" i="36"/>
  <c r="T23" i="36"/>
  <c r="N23" i="36" a="1"/>
  <c r="N23" i="36" s="1"/>
  <c r="L23" i="36" a="1"/>
  <c r="L23" i="36" s="1"/>
  <c r="T22" i="36"/>
  <c r="N22" i="36" a="1"/>
  <c r="N22" i="36" s="1"/>
  <c r="L22" i="36" a="1"/>
  <c r="L22" i="36" s="1"/>
  <c r="T21" i="36"/>
  <c r="N21" i="36" a="1"/>
  <c r="N21" i="36" s="1"/>
  <c r="L21" i="36" a="1"/>
  <c r="L21" i="36" s="1"/>
  <c r="T20" i="36"/>
  <c r="N20" i="36" a="1"/>
  <c r="N20" i="36" s="1"/>
  <c r="L20" i="36" a="1"/>
  <c r="L20" i="36" s="1"/>
  <c r="T19" i="36"/>
  <c r="N19" i="36" a="1"/>
  <c r="N19" i="36" s="1"/>
  <c r="L19" i="36" a="1"/>
  <c r="L19" i="36" s="1"/>
  <c r="T18" i="36"/>
  <c r="N18" i="36" a="1"/>
  <c r="N18" i="36" s="1"/>
  <c r="L18" i="36" a="1"/>
  <c r="L18" i="36" s="1"/>
  <c r="T17" i="36"/>
  <c r="N17" i="36" a="1"/>
  <c r="N17" i="36" s="1"/>
  <c r="L17" i="36" a="1"/>
  <c r="L17" i="36" s="1"/>
  <c r="T16" i="36"/>
  <c r="N16" i="36" a="1"/>
  <c r="N16" i="36" s="1"/>
  <c r="L16" i="36" a="1"/>
  <c r="L16" i="36" s="1"/>
  <c r="T15" i="36"/>
  <c r="N15" i="36" a="1"/>
  <c r="N15" i="36" s="1"/>
  <c r="L15" i="36" a="1"/>
  <c r="L15" i="36" s="1"/>
  <c r="N46" i="35"/>
  <c r="T23" i="35"/>
  <c r="N23" i="35" a="1"/>
  <c r="N23" i="35" s="1"/>
  <c r="L23" i="35" a="1"/>
  <c r="L23" i="35" s="1"/>
  <c r="T22" i="35"/>
  <c r="N22" i="35" a="1"/>
  <c r="N22" i="35" s="1"/>
  <c r="L22" i="35" a="1"/>
  <c r="L22" i="35" s="1"/>
  <c r="T21" i="35"/>
  <c r="N21" i="35" a="1"/>
  <c r="N21" i="35" s="1"/>
  <c r="L21" i="35" a="1"/>
  <c r="L21" i="35" s="1"/>
  <c r="T20" i="35"/>
  <c r="N20" i="35" a="1"/>
  <c r="N20" i="35" s="1"/>
  <c r="L20" i="35" a="1"/>
  <c r="L20" i="35" s="1"/>
  <c r="T19" i="35"/>
  <c r="N19" i="35" a="1"/>
  <c r="N19" i="35" s="1"/>
  <c r="L19" i="35" a="1"/>
  <c r="L19" i="35" s="1"/>
  <c r="T18" i="35"/>
  <c r="N18" i="35" a="1"/>
  <c r="N18" i="35" s="1"/>
  <c r="L18" i="35" a="1"/>
  <c r="L18" i="35" s="1"/>
  <c r="T17" i="35"/>
  <c r="N17" i="35" a="1"/>
  <c r="N17" i="35" s="1"/>
  <c r="L17" i="35" a="1"/>
  <c r="L17" i="35" s="1"/>
  <c r="T16" i="35"/>
  <c r="N16" i="35" a="1"/>
  <c r="N16" i="35" s="1"/>
  <c r="L16" i="35" a="1"/>
  <c r="L16" i="35" s="1"/>
  <c r="T15" i="35"/>
  <c r="N15" i="35" a="1"/>
  <c r="N15" i="35" s="1"/>
  <c r="L15" i="35" a="1"/>
  <c r="L15" i="35" s="1"/>
  <c r="N46" i="34"/>
  <c r="T23" i="34"/>
  <c r="N23" i="34" a="1"/>
  <c r="N23" i="34" s="1"/>
  <c r="L23" i="34" a="1"/>
  <c r="L23" i="34" s="1"/>
  <c r="T22" i="34"/>
  <c r="N22" i="34" a="1"/>
  <c r="N22" i="34" s="1"/>
  <c r="L22" i="34" a="1"/>
  <c r="L22" i="34" s="1"/>
  <c r="T21" i="34"/>
  <c r="N21" i="34" a="1"/>
  <c r="N21" i="34" s="1"/>
  <c r="L21" i="34" a="1"/>
  <c r="L21" i="34" s="1"/>
  <c r="T20" i="34"/>
  <c r="N20" i="34" a="1"/>
  <c r="N20" i="34" s="1"/>
  <c r="L20" i="34" a="1"/>
  <c r="L20" i="34" s="1"/>
  <c r="T19" i="34"/>
  <c r="N19" i="34" a="1"/>
  <c r="N19" i="34" s="1"/>
  <c r="L19" i="34" a="1"/>
  <c r="L19" i="34" s="1"/>
  <c r="T18" i="34"/>
  <c r="N18" i="34" a="1"/>
  <c r="N18" i="34" s="1"/>
  <c r="L18" i="34" a="1"/>
  <c r="L18" i="34" s="1"/>
  <c r="T17" i="34"/>
  <c r="N17" i="34" a="1"/>
  <c r="N17" i="34" s="1"/>
  <c r="L17" i="34" a="1"/>
  <c r="L17" i="34" s="1"/>
  <c r="T16" i="34"/>
  <c r="N16" i="34" a="1"/>
  <c r="N16" i="34" s="1"/>
  <c r="L16" i="34" a="1"/>
  <c r="L16" i="34" s="1"/>
  <c r="T15" i="34"/>
  <c r="N15" i="34" a="1"/>
  <c r="N15" i="34" s="1"/>
  <c r="L15" i="34" a="1"/>
  <c r="L15" i="34" s="1"/>
  <c r="N46" i="33"/>
  <c r="T23" i="33"/>
  <c r="N23" i="33" a="1"/>
  <c r="N23" i="33" s="1"/>
  <c r="L23" i="33" a="1"/>
  <c r="L23" i="33" s="1"/>
  <c r="T22" i="33"/>
  <c r="N22" i="33" a="1"/>
  <c r="N22" i="33" s="1"/>
  <c r="L22" i="33" a="1"/>
  <c r="L22" i="33" s="1"/>
  <c r="T21" i="33"/>
  <c r="N21" i="33" a="1"/>
  <c r="N21" i="33" s="1"/>
  <c r="L21" i="33" a="1"/>
  <c r="L21" i="33" s="1"/>
  <c r="T20" i="33"/>
  <c r="N20" i="33" a="1"/>
  <c r="N20" i="33" s="1"/>
  <c r="L20" i="33" a="1"/>
  <c r="L20" i="33" s="1"/>
  <c r="T19" i="33"/>
  <c r="N19" i="33" a="1"/>
  <c r="N19" i="33" s="1"/>
  <c r="L19" i="33" a="1"/>
  <c r="L19" i="33" s="1"/>
  <c r="T18" i="33"/>
  <c r="N18" i="33" a="1"/>
  <c r="N18" i="33" s="1"/>
  <c r="L18" i="33" a="1"/>
  <c r="L18" i="33" s="1"/>
  <c r="T17" i="33"/>
  <c r="N17" i="33" a="1"/>
  <c r="N17" i="33" s="1"/>
  <c r="L17" i="33" a="1"/>
  <c r="L17" i="33" s="1"/>
  <c r="T16" i="33"/>
  <c r="N16" i="33" a="1"/>
  <c r="N16" i="33" s="1"/>
  <c r="L16" i="33" a="1"/>
  <c r="L16" i="33" s="1"/>
  <c r="T15" i="33"/>
  <c r="N15" i="33" a="1"/>
  <c r="N15" i="33" s="1"/>
  <c r="L15" i="33" a="1"/>
  <c r="L15" i="33" s="1"/>
  <c r="N46" i="32"/>
  <c r="T23" i="32"/>
  <c r="N23" i="32" a="1"/>
  <c r="N23" i="32" s="1"/>
  <c r="L23" i="32" a="1"/>
  <c r="L23" i="32" s="1"/>
  <c r="T22" i="32"/>
  <c r="N22" i="32" a="1"/>
  <c r="N22" i="32" s="1"/>
  <c r="L22" i="32" a="1"/>
  <c r="L22" i="32" s="1"/>
  <c r="T21" i="32"/>
  <c r="N21" i="32" a="1"/>
  <c r="N21" i="32" s="1"/>
  <c r="L21" i="32" a="1"/>
  <c r="L21" i="32" s="1"/>
  <c r="T20" i="32"/>
  <c r="N20" i="32" a="1"/>
  <c r="N20" i="32" s="1"/>
  <c r="L20" i="32" a="1"/>
  <c r="L20" i="32" s="1"/>
  <c r="T19" i="32"/>
  <c r="N19" i="32" a="1"/>
  <c r="N19" i="32" s="1"/>
  <c r="L19" i="32" a="1"/>
  <c r="L19" i="32" s="1"/>
  <c r="T18" i="32"/>
  <c r="N18" i="32" a="1"/>
  <c r="N18" i="32" s="1"/>
  <c r="L18" i="32" a="1"/>
  <c r="L18" i="32" s="1"/>
  <c r="T17" i="32"/>
  <c r="N17" i="32" a="1"/>
  <c r="N17" i="32" s="1"/>
  <c r="L17" i="32" a="1"/>
  <c r="L17" i="32" s="1"/>
  <c r="T16" i="32"/>
  <c r="N16" i="32" a="1"/>
  <c r="N16" i="32" s="1"/>
  <c r="L16" i="32" a="1"/>
  <c r="L16" i="32" s="1"/>
  <c r="T15" i="32"/>
  <c r="N15" i="32" a="1"/>
  <c r="N15" i="32" s="1"/>
  <c r="L15" i="32" a="1"/>
  <c r="L15" i="32" s="1"/>
  <c r="N46" i="30"/>
  <c r="T23" i="30"/>
  <c r="N23" i="30" a="1"/>
  <c r="N23" i="30" s="1"/>
  <c r="L23" i="30" a="1"/>
  <c r="L23" i="30" s="1"/>
  <c r="T22" i="30"/>
  <c r="N22" i="30" a="1"/>
  <c r="N22" i="30" s="1"/>
  <c r="L22" i="30" a="1"/>
  <c r="L22" i="30" s="1"/>
  <c r="T21" i="30"/>
  <c r="N21" i="30" a="1"/>
  <c r="N21" i="30" s="1"/>
  <c r="L21" i="30" a="1"/>
  <c r="L21" i="30" s="1"/>
  <c r="T20" i="30"/>
  <c r="N20" i="30" a="1"/>
  <c r="N20" i="30" s="1"/>
  <c r="L20" i="30" a="1"/>
  <c r="L20" i="30" s="1"/>
  <c r="T19" i="30"/>
  <c r="N19" i="30" a="1"/>
  <c r="N19" i="30" s="1"/>
  <c r="L19" i="30" a="1"/>
  <c r="L19" i="30" s="1"/>
  <c r="T18" i="30"/>
  <c r="N18" i="30" a="1"/>
  <c r="N18" i="30" s="1"/>
  <c r="L18" i="30" a="1"/>
  <c r="L18" i="30" s="1"/>
  <c r="T17" i="30"/>
  <c r="N17" i="30" a="1"/>
  <c r="N17" i="30" s="1"/>
  <c r="L17" i="30" a="1"/>
  <c r="L17" i="30" s="1"/>
  <c r="T16" i="30"/>
  <c r="N16" i="30" a="1"/>
  <c r="N16" i="30" s="1"/>
  <c r="L16" i="30" a="1"/>
  <c r="L16" i="30" s="1"/>
  <c r="T15" i="30"/>
  <c r="N15" i="30" a="1"/>
  <c r="N15" i="30" s="1"/>
  <c r="L15" i="30" a="1"/>
  <c r="L15" i="30" s="1"/>
  <c r="N46" i="28"/>
  <c r="T23" i="28"/>
  <c r="N23" i="28" a="1"/>
  <c r="N23" i="28" s="1"/>
  <c r="L23" i="28" a="1"/>
  <c r="L23" i="28" s="1"/>
  <c r="T22" i="28"/>
  <c r="N22" i="28" a="1"/>
  <c r="N22" i="28" s="1"/>
  <c r="L22" i="28" a="1"/>
  <c r="L22" i="28" s="1"/>
  <c r="T21" i="28"/>
  <c r="N21" i="28" a="1"/>
  <c r="N21" i="28" s="1"/>
  <c r="L21" i="28" a="1"/>
  <c r="L21" i="28" s="1"/>
  <c r="T20" i="28"/>
  <c r="N20" i="28" a="1"/>
  <c r="N20" i="28" s="1"/>
  <c r="L20" i="28" a="1"/>
  <c r="L20" i="28" s="1"/>
  <c r="T19" i="28"/>
  <c r="N19" i="28" a="1"/>
  <c r="N19" i="28" s="1"/>
  <c r="L19" i="28" a="1"/>
  <c r="L19" i="28" s="1"/>
  <c r="T18" i="28"/>
  <c r="N18" i="28" a="1"/>
  <c r="N18" i="28" s="1"/>
  <c r="L18" i="28" a="1"/>
  <c r="L18" i="28" s="1"/>
  <c r="T17" i="28"/>
  <c r="N17" i="28" a="1"/>
  <c r="N17" i="28" s="1"/>
  <c r="L17" i="28" a="1"/>
  <c r="L17" i="28" s="1"/>
  <c r="T16" i="28"/>
  <c r="N16" i="28" a="1"/>
  <c r="N16" i="28" s="1"/>
  <c r="L16" i="28" a="1"/>
  <c r="L16" i="28" s="1"/>
  <c r="T15" i="28"/>
  <c r="N15" i="28" a="1"/>
  <c r="N15" i="28" s="1"/>
  <c r="L15" i="28" a="1"/>
  <c r="L15" i="28" s="1"/>
  <c r="N46" i="27"/>
  <c r="T23" i="27"/>
  <c r="N23" i="27" a="1"/>
  <c r="N23" i="27" s="1"/>
  <c r="L23" i="27" a="1"/>
  <c r="L23" i="27" s="1"/>
  <c r="T22" i="27"/>
  <c r="N22" i="27" a="1"/>
  <c r="N22" i="27" s="1"/>
  <c r="L22" i="27" a="1"/>
  <c r="L22" i="27" s="1"/>
  <c r="T21" i="27"/>
  <c r="N21" i="27" a="1"/>
  <c r="N21" i="27" s="1"/>
  <c r="L21" i="27" a="1"/>
  <c r="L21" i="27" s="1"/>
  <c r="T20" i="27"/>
  <c r="N20" i="27" a="1"/>
  <c r="N20" i="27" s="1"/>
  <c r="L20" i="27" a="1"/>
  <c r="L20" i="27" s="1"/>
  <c r="T19" i="27"/>
  <c r="N19" i="27" a="1"/>
  <c r="N19" i="27" s="1"/>
  <c r="L19" i="27" a="1"/>
  <c r="L19" i="27" s="1"/>
  <c r="T18" i="27"/>
  <c r="N18" i="27" a="1"/>
  <c r="N18" i="27" s="1"/>
  <c r="L18" i="27" a="1"/>
  <c r="L18" i="27" s="1"/>
  <c r="T17" i="27"/>
  <c r="N17" i="27" a="1"/>
  <c r="N17" i="27" s="1"/>
  <c r="L17" i="27" a="1"/>
  <c r="L17" i="27" s="1"/>
  <c r="T16" i="27"/>
  <c r="N16" i="27" a="1"/>
  <c r="N16" i="27" s="1"/>
  <c r="L16" i="27" a="1"/>
  <c r="L16" i="27" s="1"/>
  <c r="T15" i="27"/>
  <c r="N15" i="27" a="1"/>
  <c r="N15" i="27" s="1"/>
  <c r="L15" i="27" a="1"/>
  <c r="L15" i="27" s="1"/>
  <c r="N46" i="26"/>
  <c r="T23" i="26"/>
  <c r="N23" i="26" a="1"/>
  <c r="N23" i="26" s="1"/>
  <c r="L23" i="26" a="1"/>
  <c r="L23" i="26" s="1"/>
  <c r="T22" i="26"/>
  <c r="N22" i="26" a="1"/>
  <c r="N22" i="26" s="1"/>
  <c r="L22" i="26" a="1"/>
  <c r="L22" i="26" s="1"/>
  <c r="T21" i="26"/>
  <c r="N21" i="26" a="1"/>
  <c r="N21" i="26" s="1"/>
  <c r="L21" i="26" a="1"/>
  <c r="L21" i="26" s="1"/>
  <c r="T20" i="26"/>
  <c r="N20" i="26" a="1"/>
  <c r="N20" i="26" s="1"/>
  <c r="L20" i="26" a="1"/>
  <c r="L20" i="26" s="1"/>
  <c r="T19" i="26"/>
  <c r="L19" i="26" a="1"/>
  <c r="L19" i="26" s="1"/>
  <c r="T18" i="26"/>
  <c r="T17" i="26"/>
  <c r="L17" i="26" a="1"/>
  <c r="L17" i="26" s="1"/>
  <c r="T16" i="26"/>
  <c r="N16" i="26" a="1"/>
  <c r="N16" i="26" s="1"/>
  <c r="L16" i="26" a="1"/>
  <c r="L16" i="26" s="1"/>
  <c r="T15" i="26"/>
  <c r="N15" i="26" a="1"/>
  <c r="N15" i="26" s="1"/>
  <c r="L15" i="26" a="1"/>
  <c r="L15" i="26" s="1"/>
  <c r="N48" i="25"/>
  <c r="L25" i="25" a="1"/>
  <c r="L25" i="25" s="1"/>
  <c r="N22" i="25" a="1"/>
  <c r="N22" i="25" s="1"/>
  <c r="L22" i="25" a="1"/>
  <c r="L22" i="25" s="1"/>
  <c r="N21" i="25" a="1"/>
  <c r="N21" i="25" s="1"/>
  <c r="L21" i="25" a="1"/>
  <c r="L21" i="25" s="1"/>
  <c r="N20" i="25" a="1"/>
  <c r="N20" i="25" s="1"/>
  <c r="L20" i="25" a="1"/>
  <c r="L20" i="25" s="1"/>
  <c r="N19" i="25" a="1"/>
  <c r="N19" i="25" s="1"/>
  <c r="L19" i="25" a="1"/>
  <c r="L19" i="25" s="1"/>
  <c r="N18" i="25" a="1"/>
  <c r="N18" i="25" s="1"/>
  <c r="L18" i="25" a="1"/>
  <c r="L18" i="25" s="1"/>
  <c r="N17" i="25" a="1"/>
  <c r="N17" i="25" s="1"/>
  <c r="L17" i="25" a="1"/>
  <c r="L17" i="25" s="1"/>
  <c r="N16" i="25" a="1"/>
  <c r="N16" i="25" s="1"/>
  <c r="L16" i="25" a="1"/>
  <c r="L16" i="25" s="1"/>
  <c r="T15" i="25"/>
  <c r="N15" i="25" a="1"/>
  <c r="N15" i="25" s="1"/>
  <c r="L15" i="25" a="1"/>
  <c r="L15" i="25" s="1"/>
  <c r="N46" i="24"/>
  <c r="T23" i="24"/>
  <c r="N23" i="24" a="1"/>
  <c r="N23" i="24" s="1"/>
  <c r="L23" i="24" a="1"/>
  <c r="L23" i="24" s="1"/>
  <c r="T22" i="24"/>
  <c r="N22" i="24" a="1"/>
  <c r="N22" i="24" s="1"/>
  <c r="L22" i="24" a="1"/>
  <c r="L22" i="24" s="1"/>
  <c r="T21" i="24"/>
  <c r="N21" i="24" a="1"/>
  <c r="N21" i="24" s="1"/>
  <c r="L21" i="24" a="1"/>
  <c r="L21" i="24" s="1"/>
  <c r="T20" i="24"/>
  <c r="N20" i="24" a="1"/>
  <c r="N20" i="24" s="1"/>
  <c r="L20" i="24" a="1"/>
  <c r="L20" i="24" s="1"/>
  <c r="T19" i="24"/>
  <c r="N19" i="24" a="1"/>
  <c r="N19" i="24" s="1"/>
  <c r="L19" i="24" a="1"/>
  <c r="L19" i="24" s="1"/>
  <c r="T18" i="24"/>
  <c r="N18" i="24" a="1"/>
  <c r="N18" i="24" s="1"/>
  <c r="L18" i="24" a="1"/>
  <c r="L18" i="24" s="1"/>
  <c r="T17" i="24"/>
  <c r="N17" i="24" a="1"/>
  <c r="N17" i="24" s="1"/>
  <c r="L17" i="24" a="1"/>
  <c r="L17" i="24" s="1"/>
  <c r="T16" i="24"/>
  <c r="N16" i="24" a="1"/>
  <c r="N16" i="24" s="1"/>
  <c r="L16" i="24" a="1"/>
  <c r="L16" i="24" s="1"/>
  <c r="T15" i="24"/>
  <c r="N15" i="24" a="1"/>
  <c r="N15" i="24" s="1"/>
  <c r="L15" i="24" a="1"/>
  <c r="L15" i="24" s="1"/>
  <c r="N46" i="23"/>
  <c r="T23" i="23"/>
  <c r="N23" i="23" a="1"/>
  <c r="N23" i="23" s="1"/>
  <c r="L23" i="23" a="1"/>
  <c r="L23" i="23" s="1"/>
  <c r="T22" i="23"/>
  <c r="N22" i="23" a="1"/>
  <c r="N22" i="23" s="1"/>
  <c r="L22" i="23" a="1"/>
  <c r="L22" i="23" s="1"/>
  <c r="T21" i="23"/>
  <c r="N21" i="23" a="1"/>
  <c r="N21" i="23" s="1"/>
  <c r="L21" i="23" a="1"/>
  <c r="L21" i="23" s="1"/>
  <c r="T20" i="23"/>
  <c r="N20" i="23" a="1"/>
  <c r="N20" i="23" s="1"/>
  <c r="L20" i="23" a="1"/>
  <c r="L20" i="23" s="1"/>
  <c r="T19" i="23"/>
  <c r="N19" i="23" a="1"/>
  <c r="N19" i="23" s="1"/>
  <c r="L19" i="23" a="1"/>
  <c r="L19" i="23" s="1"/>
  <c r="T18" i="23"/>
  <c r="N18" i="23" a="1"/>
  <c r="N18" i="23" s="1"/>
  <c r="L18" i="23" a="1"/>
  <c r="L18" i="23" s="1"/>
  <c r="T17" i="23"/>
  <c r="N17" i="23" a="1"/>
  <c r="N17" i="23" s="1"/>
  <c r="L17" i="23" a="1"/>
  <c r="L17" i="23" s="1"/>
  <c r="T16" i="23"/>
  <c r="N16" i="23" a="1"/>
  <c r="N16" i="23" s="1"/>
  <c r="T15" i="23"/>
  <c r="N15" i="23" a="1"/>
  <c r="N15" i="23" s="1"/>
  <c r="L15" i="23" a="1"/>
  <c r="L15" i="23" s="1"/>
  <c r="N46" i="22"/>
  <c r="T23" i="22"/>
  <c r="N23" i="22" a="1"/>
  <c r="N23" i="22" s="1"/>
  <c r="L23" i="22" a="1"/>
  <c r="L23" i="22" s="1"/>
  <c r="T22" i="22"/>
  <c r="N22" i="22" a="1"/>
  <c r="N22" i="22" s="1"/>
  <c r="L22" i="22" a="1"/>
  <c r="L22" i="22" s="1"/>
  <c r="T21" i="22"/>
  <c r="N21" i="22" a="1"/>
  <c r="N21" i="22" s="1"/>
  <c r="L21" i="22" a="1"/>
  <c r="L21" i="22" s="1"/>
  <c r="T20" i="22"/>
  <c r="N20" i="22" a="1"/>
  <c r="N20" i="22" s="1"/>
  <c r="L20" i="22" a="1"/>
  <c r="L20" i="22" s="1"/>
  <c r="T19" i="22"/>
  <c r="N19" i="22" a="1"/>
  <c r="N19" i="22" s="1"/>
  <c r="L19" i="22" a="1"/>
  <c r="L19" i="22" s="1"/>
  <c r="T18" i="22"/>
  <c r="N18" i="22" a="1"/>
  <c r="N18" i="22" s="1"/>
  <c r="L18" i="22" a="1"/>
  <c r="L18" i="22" s="1"/>
  <c r="T17" i="22"/>
  <c r="N17" i="22" a="1"/>
  <c r="N17" i="22" s="1"/>
  <c r="L17" i="22" a="1"/>
  <c r="L17" i="22" s="1"/>
  <c r="T16" i="22"/>
  <c r="N16" i="22" a="1"/>
  <c r="N16" i="22" s="1"/>
  <c r="L16" i="22" a="1"/>
  <c r="L16" i="22" s="1"/>
  <c r="T15" i="22"/>
  <c r="N15" i="22" a="1"/>
  <c r="N15" i="22" s="1"/>
  <c r="L15" i="22" a="1"/>
  <c r="L15" i="22" s="1"/>
  <c r="N46" i="21"/>
  <c r="T23" i="21"/>
  <c r="N23" i="21" a="1"/>
  <c r="N23" i="21" s="1"/>
  <c r="L23" i="21" a="1"/>
  <c r="L23" i="21" s="1"/>
  <c r="T22" i="21"/>
  <c r="N22" i="21" a="1"/>
  <c r="N22" i="21" s="1"/>
  <c r="L22" i="21" a="1"/>
  <c r="L22" i="21" s="1"/>
  <c r="T21" i="21"/>
  <c r="N21" i="21" a="1"/>
  <c r="N21" i="21" s="1"/>
  <c r="L21" i="21" a="1"/>
  <c r="L21" i="21" s="1"/>
  <c r="T20" i="21"/>
  <c r="N20" i="21" a="1"/>
  <c r="N20" i="21" s="1"/>
  <c r="L20" i="21" a="1"/>
  <c r="L20" i="21" s="1"/>
  <c r="T19" i="21"/>
  <c r="N19" i="21" a="1"/>
  <c r="N19" i="21" s="1"/>
  <c r="L19" i="21" a="1"/>
  <c r="L19" i="21" s="1"/>
  <c r="T18" i="21"/>
  <c r="N18" i="21" a="1"/>
  <c r="N18" i="21" s="1"/>
  <c r="L18" i="21" a="1"/>
  <c r="L18" i="21" s="1"/>
  <c r="T17" i="21"/>
  <c r="N17" i="21" a="1"/>
  <c r="N17" i="21" s="1"/>
  <c r="L17" i="21" a="1"/>
  <c r="L17" i="21" s="1"/>
  <c r="T16" i="21"/>
  <c r="N16" i="21" a="1"/>
  <c r="N16" i="21" s="1"/>
  <c r="L16" i="21" a="1"/>
  <c r="L16" i="21" s="1"/>
  <c r="T15" i="21"/>
  <c r="N15" i="21" a="1"/>
  <c r="N15" i="21" s="1"/>
  <c r="L15" i="21" a="1"/>
  <c r="L15" i="21" s="1"/>
  <c r="N46" i="18"/>
  <c r="T23" i="18"/>
  <c r="N23" i="18" a="1"/>
  <c r="N23" i="18" s="1"/>
  <c r="L23" i="18" a="1"/>
  <c r="L23" i="18" s="1"/>
  <c r="T22" i="18"/>
  <c r="N22" i="18" a="1"/>
  <c r="N22" i="18" s="1"/>
  <c r="L22" i="18" a="1"/>
  <c r="L22" i="18" s="1"/>
  <c r="T21" i="18"/>
  <c r="N21" i="18" a="1"/>
  <c r="N21" i="18" s="1"/>
  <c r="L21" i="18" a="1"/>
  <c r="L21" i="18" s="1"/>
  <c r="T20" i="18"/>
  <c r="N20" i="18" a="1"/>
  <c r="N20" i="18" s="1"/>
  <c r="L20" i="18" a="1"/>
  <c r="L20" i="18" s="1"/>
  <c r="T19" i="18"/>
  <c r="L19" i="18" a="1"/>
  <c r="L19" i="18" s="1"/>
  <c r="T18" i="18"/>
  <c r="N18" i="18" a="1"/>
  <c r="N18" i="18" s="1"/>
  <c r="L18" i="18" a="1"/>
  <c r="L18" i="18" s="1"/>
  <c r="T17" i="18"/>
  <c r="N17" i="18" a="1"/>
  <c r="N17" i="18" s="1"/>
  <c r="L17" i="18" a="1"/>
  <c r="L17" i="18" s="1"/>
  <c r="T16" i="18"/>
  <c r="N16" i="18" a="1"/>
  <c r="N16" i="18" s="1"/>
  <c r="L16" i="18" a="1"/>
  <c r="L16" i="18" s="1"/>
  <c r="T15" i="18"/>
  <c r="N15" i="18" a="1"/>
  <c r="N15" i="18" s="1"/>
  <c r="L15" i="18" a="1"/>
  <c r="L15" i="18" s="1"/>
  <c r="N46" i="17"/>
  <c r="T23" i="17"/>
  <c r="N23" i="17" a="1"/>
  <c r="N23" i="17" s="1"/>
  <c r="L23" i="17" a="1"/>
  <c r="L23" i="17" s="1"/>
  <c r="T22" i="17"/>
  <c r="N22" i="17" a="1"/>
  <c r="N22" i="17" s="1"/>
  <c r="L22" i="17" a="1"/>
  <c r="L22" i="17" s="1"/>
  <c r="T21" i="17"/>
  <c r="N21" i="17" a="1"/>
  <c r="N21" i="17" s="1"/>
  <c r="L21" i="17" a="1"/>
  <c r="L21" i="17" s="1"/>
  <c r="T20" i="17"/>
  <c r="N20" i="17" a="1"/>
  <c r="N20" i="17" s="1"/>
  <c r="L20" i="17" a="1"/>
  <c r="L20" i="17" s="1"/>
  <c r="T19" i="17"/>
  <c r="N19" i="17" a="1"/>
  <c r="N19" i="17" s="1"/>
  <c r="L19" i="17" a="1"/>
  <c r="L19" i="17" s="1"/>
  <c r="T18" i="17"/>
  <c r="L18" i="17" a="1"/>
  <c r="L18" i="17" s="1"/>
  <c r="T17" i="17"/>
  <c r="N17" i="17" a="1"/>
  <c r="N17" i="17" s="1"/>
  <c r="L17" i="17" a="1"/>
  <c r="L17" i="17" s="1"/>
  <c r="T16" i="17"/>
  <c r="N16" i="17" a="1"/>
  <c r="N16" i="17" s="1"/>
  <c r="L16" i="17" a="1"/>
  <c r="L16" i="17" s="1"/>
  <c r="T15" i="17"/>
  <c r="N15" i="17" a="1"/>
  <c r="N15" i="17" s="1"/>
  <c r="L15" i="17" a="1"/>
  <c r="L15" i="17" s="1"/>
  <c r="N46" i="16"/>
  <c r="T23" i="16"/>
  <c r="N23" i="16" a="1"/>
  <c r="N23" i="16" s="1"/>
  <c r="L23" i="16" a="1"/>
  <c r="L23" i="16" s="1"/>
  <c r="T22" i="16"/>
  <c r="N22" i="16" a="1"/>
  <c r="N22" i="16" s="1"/>
  <c r="L22" i="16" a="1"/>
  <c r="L22" i="16" s="1"/>
  <c r="T21" i="16"/>
  <c r="N21" i="16" a="1"/>
  <c r="N21" i="16" s="1"/>
  <c r="L21" i="16" a="1"/>
  <c r="L21" i="16" s="1"/>
  <c r="T20" i="16"/>
  <c r="N20" i="16" a="1"/>
  <c r="N20" i="16" s="1"/>
  <c r="L20" i="16" a="1"/>
  <c r="L20" i="16" s="1"/>
  <c r="T19" i="16"/>
  <c r="N19" i="16" a="1"/>
  <c r="N19" i="16" s="1"/>
  <c r="L19" i="16" a="1"/>
  <c r="L19" i="16" s="1"/>
  <c r="T18" i="16"/>
  <c r="N18" i="16" a="1"/>
  <c r="N18" i="16" s="1"/>
  <c r="L18" i="16" a="1"/>
  <c r="L18" i="16" s="1"/>
  <c r="T17" i="16"/>
  <c r="N17" i="16" a="1"/>
  <c r="N17" i="16" s="1"/>
  <c r="L17" i="16" a="1"/>
  <c r="L17" i="16" s="1"/>
  <c r="T16" i="16"/>
  <c r="N16" i="16" a="1"/>
  <c r="N16" i="16" s="1"/>
  <c r="L16" i="16" a="1"/>
  <c r="L16" i="16" s="1"/>
  <c r="T15" i="16"/>
  <c r="N15" i="16" a="1"/>
  <c r="N15" i="16" s="1"/>
  <c r="L15" i="16" a="1"/>
  <c r="L15" i="16" s="1"/>
  <c r="N46" i="14"/>
  <c r="T23" i="14"/>
  <c r="N23" i="14" a="1"/>
  <c r="N23" i="14" s="1"/>
  <c r="L23" i="14" a="1"/>
  <c r="L23" i="14" s="1"/>
  <c r="T22" i="14"/>
  <c r="N22" i="14" a="1"/>
  <c r="N22" i="14" s="1"/>
  <c r="L22" i="14" a="1"/>
  <c r="L22" i="14" s="1"/>
  <c r="T21" i="14"/>
  <c r="N21" i="14" a="1"/>
  <c r="N21" i="14" s="1"/>
  <c r="L21" i="14" a="1"/>
  <c r="L21" i="14" s="1"/>
  <c r="T20" i="14"/>
  <c r="N20" i="14" a="1"/>
  <c r="N20" i="14" s="1"/>
  <c r="L20" i="14" a="1"/>
  <c r="L20" i="14" s="1"/>
  <c r="T19" i="14"/>
  <c r="N19" i="14" a="1"/>
  <c r="N19" i="14" s="1"/>
  <c r="L19" i="14" a="1"/>
  <c r="L19" i="14" s="1"/>
  <c r="T18" i="14"/>
  <c r="N18" i="14" a="1"/>
  <c r="N18" i="14" s="1"/>
  <c r="L18" i="14" a="1"/>
  <c r="L18" i="14" s="1"/>
  <c r="T17" i="14"/>
  <c r="N17" i="14" a="1"/>
  <c r="N17" i="14" s="1"/>
  <c r="L17" i="14" a="1"/>
  <c r="L17" i="14" s="1"/>
  <c r="T16" i="14"/>
  <c r="N16" i="14" a="1"/>
  <c r="N16" i="14" s="1"/>
  <c r="L16" i="14" a="1"/>
  <c r="L16" i="14" s="1"/>
  <c r="T15" i="14"/>
  <c r="N15" i="14" a="1"/>
  <c r="N15" i="14" s="1"/>
  <c r="L15" i="14" a="1"/>
  <c r="L15" i="14" s="1"/>
  <c r="N46" i="13"/>
  <c r="T23" i="13"/>
  <c r="N23" i="13" a="1"/>
  <c r="N23" i="13" s="1"/>
  <c r="L23" i="13" a="1"/>
  <c r="L23" i="13" s="1"/>
  <c r="T22" i="13"/>
  <c r="N22" i="13" a="1"/>
  <c r="N22" i="13" s="1"/>
  <c r="L22" i="13" a="1"/>
  <c r="L22" i="13" s="1"/>
  <c r="T21" i="13"/>
  <c r="N21" i="13" a="1"/>
  <c r="N21" i="13" s="1"/>
  <c r="L21" i="13" a="1"/>
  <c r="L21" i="13" s="1"/>
  <c r="T20" i="13"/>
  <c r="N20" i="13" a="1"/>
  <c r="N20" i="13" s="1"/>
  <c r="L20" i="13" a="1"/>
  <c r="L20" i="13" s="1"/>
  <c r="T19" i="13"/>
  <c r="N19" i="13" a="1"/>
  <c r="N19" i="13" s="1"/>
  <c r="L19" i="13" a="1"/>
  <c r="L19" i="13" s="1"/>
  <c r="T18" i="13"/>
  <c r="N18" i="13" a="1"/>
  <c r="N18" i="13" s="1"/>
  <c r="L18" i="13" a="1"/>
  <c r="L18" i="13" s="1"/>
  <c r="T17" i="13"/>
  <c r="N17" i="13" a="1"/>
  <c r="N17" i="13" s="1"/>
  <c r="L17" i="13" a="1"/>
  <c r="L17" i="13" s="1"/>
  <c r="T16" i="13"/>
  <c r="N16" i="13" a="1"/>
  <c r="N16" i="13" s="1"/>
  <c r="L16" i="13" a="1"/>
  <c r="L16" i="13" s="1"/>
  <c r="T15" i="13"/>
  <c r="N15" i="13" a="1"/>
  <c r="N15" i="13" s="1"/>
  <c r="L15" i="13" a="1"/>
  <c r="L15" i="13" s="1"/>
  <c r="N46" i="12"/>
  <c r="T15" i="12"/>
  <c r="N46" i="11"/>
  <c r="T23" i="11"/>
  <c r="N23" i="11" a="1"/>
  <c r="N23" i="11" s="1"/>
  <c r="L23" i="11" a="1"/>
  <c r="L23" i="11" s="1"/>
  <c r="T22" i="11"/>
  <c r="N22" i="11" a="1"/>
  <c r="N22" i="11" s="1"/>
  <c r="L22" i="11" a="1"/>
  <c r="L22" i="11" s="1"/>
  <c r="T21" i="11"/>
  <c r="N21" i="11" a="1"/>
  <c r="N21" i="11" s="1"/>
  <c r="L21" i="11" a="1"/>
  <c r="L21" i="11" s="1"/>
  <c r="T20" i="11"/>
  <c r="N20" i="11" a="1"/>
  <c r="N20" i="11" s="1"/>
  <c r="L20" i="11" a="1"/>
  <c r="L20" i="11" s="1"/>
  <c r="T19" i="11"/>
  <c r="N19" i="11" a="1"/>
  <c r="N19" i="11" s="1"/>
  <c r="L19" i="11" a="1"/>
  <c r="L19" i="11" s="1"/>
  <c r="T18" i="11"/>
  <c r="N18" i="11" a="1"/>
  <c r="N18" i="11" s="1"/>
  <c r="L18" i="11" a="1"/>
  <c r="L18" i="11" s="1"/>
  <c r="T17" i="11"/>
  <c r="N17" i="11" a="1"/>
  <c r="N17" i="11" s="1"/>
  <c r="L17" i="11" a="1"/>
  <c r="L17" i="11" s="1"/>
  <c r="T16" i="11"/>
  <c r="N16" i="11" a="1"/>
  <c r="N16" i="11" s="1"/>
  <c r="L16" i="11" a="1"/>
  <c r="L16" i="11" s="1"/>
  <c r="T15" i="11"/>
  <c r="N15" i="11" a="1"/>
  <c r="N15" i="11" s="1"/>
  <c r="L15" i="11" a="1"/>
  <c r="L15" i="11" s="1"/>
  <c r="N46" i="10"/>
  <c r="T23" i="10"/>
  <c r="N23" i="10" a="1"/>
  <c r="N23" i="10" s="1"/>
  <c r="L23" i="10" a="1"/>
  <c r="L23" i="10" s="1"/>
  <c r="T22" i="10"/>
  <c r="N22" i="10" a="1"/>
  <c r="N22" i="10" s="1"/>
  <c r="L22" i="10" a="1"/>
  <c r="L22" i="10" s="1"/>
  <c r="T21" i="10"/>
  <c r="N21" i="10" a="1"/>
  <c r="N21" i="10" s="1"/>
  <c r="L21" i="10" a="1"/>
  <c r="L21" i="10" s="1"/>
  <c r="T20" i="10"/>
  <c r="N20" i="10" a="1"/>
  <c r="N20" i="10" s="1"/>
  <c r="L20" i="10" a="1"/>
  <c r="L20" i="10" s="1"/>
  <c r="T19" i="10"/>
  <c r="L19" i="10" a="1"/>
  <c r="L19" i="10" s="1"/>
  <c r="T18" i="10"/>
  <c r="T17" i="10"/>
  <c r="T16" i="10"/>
  <c r="T15" i="10"/>
  <c r="N46" i="9"/>
  <c r="T23" i="9"/>
  <c r="N23" i="9" a="1"/>
  <c r="N23" i="9" s="1"/>
  <c r="L23" i="9" a="1"/>
  <c r="L23" i="9" s="1"/>
  <c r="T22" i="9"/>
  <c r="N22" i="9" a="1"/>
  <c r="N22" i="9" s="1"/>
  <c r="L22" i="9" a="1"/>
  <c r="L22" i="9" s="1"/>
  <c r="T21" i="9"/>
  <c r="N21" i="9" a="1"/>
  <c r="N21" i="9" s="1"/>
  <c r="L21" i="9" a="1"/>
  <c r="L21" i="9" s="1"/>
  <c r="T20" i="9"/>
  <c r="N20" i="9" a="1"/>
  <c r="N20" i="9" s="1"/>
  <c r="L20" i="9" a="1"/>
  <c r="L20" i="9" s="1"/>
  <c r="T19" i="9"/>
  <c r="N19" i="9" a="1"/>
  <c r="N19" i="9" s="1"/>
  <c r="L19" i="9" a="1"/>
  <c r="L19" i="9" s="1"/>
  <c r="T18" i="9"/>
  <c r="N18" i="9" a="1"/>
  <c r="N18" i="9" s="1"/>
  <c r="L18" i="9" a="1"/>
  <c r="L18" i="9" s="1"/>
  <c r="T17" i="9"/>
  <c r="N17" i="9" a="1"/>
  <c r="N17" i="9" s="1"/>
  <c r="L17" i="9" a="1"/>
  <c r="L17" i="9" s="1"/>
  <c r="T16" i="9"/>
  <c r="N16" i="9" a="1"/>
  <c r="N16" i="9" s="1"/>
  <c r="L16" i="9" a="1"/>
  <c r="L16" i="9" s="1"/>
  <c r="T15" i="9"/>
  <c r="N15" i="9" a="1"/>
  <c r="N15" i="9" s="1"/>
  <c r="L15" i="9" a="1"/>
  <c r="L15" i="9" s="1"/>
  <c r="N46" i="7"/>
  <c r="T23" i="7"/>
  <c r="N23" i="7" a="1"/>
  <c r="N23" i="7" s="1"/>
  <c r="L23" i="7" a="1"/>
  <c r="L23" i="7" s="1"/>
  <c r="T22" i="7"/>
  <c r="N22" i="7" a="1"/>
  <c r="N22" i="7" s="1"/>
  <c r="L22" i="7" a="1"/>
  <c r="L22" i="7" s="1"/>
  <c r="T21" i="7"/>
  <c r="N21" i="7" a="1"/>
  <c r="N21" i="7" s="1"/>
  <c r="L21" i="7" a="1"/>
  <c r="L21" i="7" s="1"/>
  <c r="T20" i="7"/>
  <c r="N20" i="7" a="1"/>
  <c r="N20" i="7" s="1"/>
  <c r="L20" i="7" a="1"/>
  <c r="L20" i="7" s="1"/>
  <c r="T19" i="7"/>
  <c r="N19" i="7" a="1"/>
  <c r="N19" i="7" s="1"/>
  <c r="L19" i="7" a="1"/>
  <c r="L19" i="7" s="1"/>
  <c r="T18" i="7"/>
  <c r="N18" i="7" a="1"/>
  <c r="N18" i="7" s="1"/>
  <c r="L18" i="7" a="1"/>
  <c r="L18" i="7" s="1"/>
  <c r="T17" i="7"/>
  <c r="N17" i="7" a="1"/>
  <c r="N17" i="7" s="1"/>
  <c r="L17" i="7" a="1"/>
  <c r="L17" i="7" s="1"/>
  <c r="T16" i="7"/>
  <c r="N16" i="7" a="1"/>
  <c r="N16" i="7" s="1"/>
  <c r="L16" i="7" a="1"/>
  <c r="L16" i="7" s="1"/>
  <c r="T15" i="7"/>
  <c r="N15" i="7" a="1"/>
  <c r="N15" i="7" s="1"/>
  <c r="L15" i="7" a="1"/>
  <c r="L15" i="7" s="1"/>
  <c r="N46" i="6"/>
  <c r="T23" i="6"/>
  <c r="N23" i="6" a="1"/>
  <c r="N23" i="6" s="1"/>
  <c r="L23" i="6" a="1"/>
  <c r="L23" i="6" s="1"/>
  <c r="T22" i="6"/>
  <c r="N22" i="6" a="1"/>
  <c r="N22" i="6" s="1"/>
  <c r="L22" i="6" a="1"/>
  <c r="L22" i="6" s="1"/>
  <c r="T21" i="6"/>
  <c r="N21" i="6" a="1"/>
  <c r="N21" i="6" s="1"/>
  <c r="L21" i="6" a="1"/>
  <c r="L21" i="6" s="1"/>
  <c r="T20" i="6"/>
  <c r="N20" i="6" a="1"/>
  <c r="N20" i="6" s="1"/>
  <c r="L20" i="6" a="1"/>
  <c r="L20" i="6" s="1"/>
  <c r="T19" i="6"/>
  <c r="N19" i="6" a="1"/>
  <c r="N19" i="6" s="1"/>
  <c r="L19" i="6" a="1"/>
  <c r="L19" i="6" s="1"/>
  <c r="T18" i="6"/>
  <c r="N18" i="6" a="1"/>
  <c r="N18" i="6" s="1"/>
  <c r="L18" i="6" a="1"/>
  <c r="L18" i="6" s="1"/>
  <c r="T17" i="6"/>
  <c r="N17" i="6" a="1"/>
  <c r="N17" i="6" s="1"/>
  <c r="L17" i="6" a="1"/>
  <c r="L17" i="6" s="1"/>
  <c r="T16" i="6"/>
  <c r="N16" i="6" a="1"/>
  <c r="N16" i="6" s="1"/>
  <c r="L16" i="6" a="1"/>
  <c r="L16" i="6" s="1"/>
  <c r="T15" i="6"/>
  <c r="N15" i="6" a="1"/>
  <c r="N15" i="6" s="1"/>
  <c r="L15" i="6" a="1"/>
  <c r="L15" i="6" s="1"/>
  <c r="N46" i="5"/>
  <c r="T23" i="5"/>
  <c r="N23" i="5" a="1"/>
  <c r="N23" i="5" s="1"/>
  <c r="L23" i="5" a="1"/>
  <c r="L23" i="5" s="1"/>
  <c r="T22" i="5"/>
  <c r="N22" i="5" a="1"/>
  <c r="N22" i="5" s="1"/>
  <c r="L22" i="5" a="1"/>
  <c r="L22" i="5" s="1"/>
  <c r="T21" i="5"/>
  <c r="N21" i="5" a="1"/>
  <c r="N21" i="5" s="1"/>
  <c r="L21" i="5" a="1"/>
  <c r="L21" i="5" s="1"/>
  <c r="T20" i="5"/>
  <c r="N20" i="5" a="1"/>
  <c r="N20" i="5" s="1"/>
  <c r="L20" i="5" a="1"/>
  <c r="L20" i="5" s="1"/>
  <c r="T19" i="5"/>
  <c r="N19" i="5" a="1"/>
  <c r="N19" i="5" s="1"/>
  <c r="L19" i="5" a="1"/>
  <c r="L19" i="5" s="1"/>
  <c r="T18" i="5"/>
  <c r="N18" i="5" a="1"/>
  <c r="N18" i="5" s="1"/>
  <c r="L18" i="5" a="1"/>
  <c r="L18" i="5" s="1"/>
  <c r="T17" i="5"/>
  <c r="N17" i="5" a="1"/>
  <c r="N17" i="5" s="1"/>
  <c r="L17" i="5" a="1"/>
  <c r="L17" i="5" s="1"/>
  <c r="T16" i="5"/>
  <c r="N16" i="5" a="1"/>
  <c r="N16" i="5" s="1"/>
  <c r="L16" i="5" a="1"/>
  <c r="L16" i="5" s="1"/>
  <c r="T15" i="5"/>
  <c r="N15" i="5" a="1"/>
  <c r="N15" i="5" s="1"/>
  <c r="L15" i="5" a="1"/>
  <c r="L15" i="5" s="1"/>
  <c r="N46" i="2"/>
  <c r="T23" i="2"/>
  <c r="N23" i="2" a="1"/>
  <c r="N23" i="2" s="1"/>
  <c r="L23" i="2" a="1"/>
  <c r="L23" i="2" s="1"/>
  <c r="T22" i="2"/>
  <c r="N22" i="2" a="1"/>
  <c r="N22" i="2" s="1"/>
  <c r="L22" i="2" a="1"/>
  <c r="L22" i="2" s="1"/>
  <c r="T21" i="2"/>
  <c r="N21" i="2" a="1"/>
  <c r="N21" i="2" s="1"/>
  <c r="L21" i="2" a="1"/>
  <c r="L21" i="2" s="1"/>
  <c r="T20" i="2"/>
  <c r="L20" i="2" a="1"/>
  <c r="L20" i="2" s="1"/>
  <c r="T19" i="2"/>
  <c r="N19" i="2" a="1"/>
  <c r="N19" i="2" s="1"/>
  <c r="L19" i="2" a="1"/>
  <c r="L19" i="2" s="1"/>
  <c r="T18" i="2"/>
  <c r="N18" i="2" a="1"/>
  <c r="N18" i="2" s="1"/>
  <c r="L18" i="2" a="1"/>
  <c r="L18" i="2" s="1"/>
  <c r="T17" i="2"/>
  <c r="N17" i="2" a="1"/>
  <c r="N17" i="2" s="1"/>
  <c r="L17" i="2" a="1"/>
  <c r="L17" i="2" s="1"/>
  <c r="T16" i="2"/>
  <c r="N16" i="2" a="1"/>
  <c r="N16" i="2" s="1"/>
  <c r="L16" i="2" a="1"/>
  <c r="L16" i="2" s="1"/>
  <c r="T15" i="2"/>
  <c r="N15" i="2" a="1"/>
  <c r="N15" i="2" s="1"/>
  <c r="L15" i="2" a="1"/>
  <c r="L15" i="2" s="1"/>
  <c r="N46" i="1"/>
  <c r="T23" i="1"/>
  <c r="N23" i="1" a="1"/>
  <c r="N23" i="1" s="1"/>
  <c r="L23" i="1" a="1"/>
  <c r="L23" i="1" s="1"/>
  <c r="T22" i="1"/>
  <c r="N22" i="1" a="1"/>
  <c r="N22" i="1" s="1"/>
  <c r="L22" i="1" a="1"/>
  <c r="L22" i="1" s="1"/>
  <c r="T21" i="1"/>
  <c r="N21" i="1" a="1"/>
  <c r="N21" i="1" s="1"/>
  <c r="L21" i="1" a="1"/>
  <c r="L21" i="1" s="1"/>
  <c r="T20" i="1"/>
  <c r="N20" i="1" a="1"/>
  <c r="N20" i="1" s="1"/>
  <c r="L20" i="1" a="1"/>
  <c r="L20" i="1" s="1"/>
  <c r="T19" i="1"/>
  <c r="N19" i="1" a="1"/>
  <c r="N19" i="1" s="1"/>
  <c r="L19" i="1" a="1"/>
  <c r="L19" i="1" s="1"/>
  <c r="T18" i="1"/>
  <c r="N18" i="1" a="1"/>
  <c r="N18" i="1" s="1"/>
  <c r="L18" i="1" a="1"/>
  <c r="L18" i="1" s="1"/>
  <c r="T17" i="1"/>
  <c r="N17" i="1" a="1"/>
  <c r="N17" i="1" s="1"/>
  <c r="L17" i="1" a="1"/>
  <c r="L17" i="1" s="1"/>
  <c r="T16" i="1"/>
  <c r="N16" i="1" a="1"/>
  <c r="N16" i="1" s="1"/>
  <c r="L16" i="1" a="1"/>
  <c r="L16" i="1" s="1"/>
  <c r="T15" i="1"/>
  <c r="N15" i="1" a="1"/>
  <c r="N15" i="1" s="1"/>
  <c r="L15" i="1" a="1"/>
  <c r="L15" i="1" s="1"/>
  <c r="R15" i="2" l="1"/>
  <c r="R15" i="22"/>
  <c r="R15" i="39"/>
  <c r="R15" i="30"/>
  <c r="R15" i="37"/>
  <c r="R15" i="5"/>
  <c r="R15" i="6"/>
  <c r="R15" i="18"/>
  <c r="R15" i="14"/>
  <c r="R15" i="7"/>
  <c r="R15" i="13"/>
  <c r="R15" i="21"/>
  <c r="R15" i="9"/>
  <c r="R15" i="17"/>
  <c r="R15" i="27"/>
  <c r="R15" i="12"/>
  <c r="R15" i="1"/>
  <c r="R15" i="33"/>
  <c r="R15" i="36"/>
  <c r="R15" i="26"/>
  <c r="R15" i="32"/>
  <c r="R15" i="35"/>
  <c r="R15" i="24"/>
  <c r="R15" i="25"/>
  <c r="R15" i="41"/>
  <c r="R15" i="11"/>
  <c r="R15" i="23"/>
  <c r="R15" i="16"/>
  <c r="R15" i="28"/>
  <c r="R15" i="34"/>
  <c r="R15" i="40"/>
</calcChain>
</file>

<file path=xl/sharedStrings.xml><?xml version="1.0" encoding="utf-8"?>
<sst xmlns="http://schemas.openxmlformats.org/spreadsheetml/2006/main" count="2843" uniqueCount="623">
  <si>
    <t>UNIVERSIDAD TECNOLÓGICA FIDEL VELÁZQUEZ</t>
  </si>
  <si>
    <t>SECRETARÍA ACADÉMICA</t>
  </si>
  <si>
    <t xml:space="preserve">CARGA HORARIA  PROFESOR DE ASIGNATURA </t>
  </si>
  <si>
    <t>ALFARO LINARES SANDRA</t>
  </si>
  <si>
    <t>MAESTRÍA</t>
  </si>
  <si>
    <t xml:space="preserve">NOMBRE DE LA PROFESORA O PROFESOR </t>
  </si>
  <si>
    <t>PROFESIÓN Y GRADO MÁXIMO DE ESTUDIOS</t>
  </si>
  <si>
    <t xml:space="preserve">DISTRIBUCIÓN DE HORAS AL CUATRIMESTRE </t>
  </si>
  <si>
    <t>DOCENCIA</t>
  </si>
  <si>
    <t xml:space="preserve"> FRENTE A GRUPO</t>
  </si>
  <si>
    <t xml:space="preserve"> ASIGNATURA</t>
  </si>
  <si>
    <t>CLAVE</t>
  </si>
  <si>
    <t>GRUPO</t>
  </si>
  <si>
    <t>HORAS/SEMANA/MES</t>
  </si>
  <si>
    <t>HORAS TOTALES POR SEMANA**</t>
  </si>
  <si>
    <t>Tecnologias para Manejo Masivo de Datos</t>
  </si>
  <si>
    <t>Cómputo en la Nube</t>
  </si>
  <si>
    <t xml:space="preserve"> </t>
  </si>
  <si>
    <t>HORARIO SEMANAL*11)</t>
  </si>
  <si>
    <t>DISTRIBUCIÓN DE HORAS</t>
  </si>
  <si>
    <t xml:space="preserve">LUNES </t>
  </si>
  <si>
    <t xml:space="preserve">MARTES </t>
  </si>
  <si>
    <t>MIERCOLES</t>
  </si>
  <si>
    <t>JUEVES</t>
  </si>
  <si>
    <t>VIERNES</t>
  </si>
  <si>
    <t>SÁBADO</t>
  </si>
  <si>
    <t>07:00 A 08:00</t>
  </si>
  <si>
    <t>08:00 A 09:00</t>
  </si>
  <si>
    <t>09:00 A 10:00</t>
  </si>
  <si>
    <t>10:00 A 11:00</t>
  </si>
  <si>
    <t>11:00 A 12:00</t>
  </si>
  <si>
    <t>12:00 A 13:00</t>
  </si>
  <si>
    <t>13:00 A 14:00</t>
  </si>
  <si>
    <t>14:00 A 15:00</t>
  </si>
  <si>
    <t>15:00 A 16:00</t>
  </si>
  <si>
    <t>16:00 A 17:00</t>
  </si>
  <si>
    <t>17:00 A 18:00</t>
  </si>
  <si>
    <t>18:00 A 19:00</t>
  </si>
  <si>
    <t>19:00 A 20:00</t>
  </si>
  <si>
    <t>20:00 A 21:00</t>
  </si>
  <si>
    <t>21:00 A 22:00</t>
  </si>
  <si>
    <t>MTRO. OLIVER RAÚL VELÁZQUEZ TORRES</t>
  </si>
  <si>
    <t>NOMBRE Y FIRMA DEL DIRECTOR ACADÉMICO</t>
  </si>
  <si>
    <t xml:space="preserve">NOMBRE Y FIRMA DE LA  PROFESORA O PROFESOR </t>
  </si>
  <si>
    <t>BAEZA FLORES MARIA DEL CARMEN</t>
  </si>
  <si>
    <t>Imagen Corporativa</t>
  </si>
  <si>
    <t>Imagen Digital Animada</t>
  </si>
  <si>
    <t>Animación en 3D</t>
  </si>
  <si>
    <t>Animación en 2D</t>
  </si>
  <si>
    <t>BERNAL FUENTES SILVIA GUADALUPE</t>
  </si>
  <si>
    <t>Representación Geométrica.</t>
  </si>
  <si>
    <t>BLANCAS BASILIO CARLOS</t>
  </si>
  <si>
    <t>GARCIA TRINIDAD ENRIQUE</t>
  </si>
  <si>
    <t>Matemáticas para Ingeniería I</t>
  </si>
  <si>
    <t>GOMEZ GONZALEZ JORGE</t>
  </si>
  <si>
    <t>Geometría Descriptiva.</t>
  </si>
  <si>
    <t>Física</t>
  </si>
  <si>
    <t>GONZALEZ GARCIA VERONICA</t>
  </si>
  <si>
    <t>Integradora II</t>
  </si>
  <si>
    <t>Gestión de Proyectos</t>
  </si>
  <si>
    <t>Modelado Manual.</t>
  </si>
  <si>
    <t>GUERRERO CORONEL WENDY</t>
  </si>
  <si>
    <t>IBARRA VAZQUEZ JESSICA DANIELA</t>
  </si>
  <si>
    <t>Software CAD</t>
  </si>
  <si>
    <t>INFANTE DE LA FUENTE JUAN GABRIEL</t>
  </si>
  <si>
    <t>Gestión de La Seguridad Informática</t>
  </si>
  <si>
    <t>ISLAS GONZALEZ YUNUEN</t>
  </si>
  <si>
    <t>LICENCIATURA</t>
  </si>
  <si>
    <t>Animación 2D Avanzada</t>
  </si>
  <si>
    <t>LANDIN HERREJON JOSE LUIS GUSTAVO</t>
  </si>
  <si>
    <t>Guionismo y Storyboard</t>
  </si>
  <si>
    <t>Mercadotecnia.</t>
  </si>
  <si>
    <t>Expresión Oral y Escrita II °</t>
  </si>
  <si>
    <t xml:space="preserve">LIMA ARRONA FERNANDO </t>
  </si>
  <si>
    <t>Programación.</t>
  </si>
  <si>
    <t>Introducción a Big Data</t>
  </si>
  <si>
    <t>MALDONADO GUERRERO ALHAN GERARD</t>
  </si>
  <si>
    <t>Edición de Audio y Video</t>
  </si>
  <si>
    <t>Proceso de Producción Audiovisual</t>
  </si>
  <si>
    <t>Expresión Oral y Escrita II_</t>
  </si>
  <si>
    <t>MARTINEZ MARTINEZ HECTOR ALONSO</t>
  </si>
  <si>
    <t>MARTINEZ VEGA FERMIN</t>
  </si>
  <si>
    <t>Estadística</t>
  </si>
  <si>
    <t>Prototipos</t>
  </si>
  <si>
    <t>MENDOZA CALVA HECTOR RAUL</t>
  </si>
  <si>
    <t>Ilustración Digital.</t>
  </si>
  <si>
    <t>MONROY TREJO ALEJANDRO</t>
  </si>
  <si>
    <t>Postproducción Audiovisual</t>
  </si>
  <si>
    <t>Estética Digital</t>
  </si>
  <si>
    <t>MORALES CANO CITLALLI</t>
  </si>
  <si>
    <t>MORALES ORTIZ EMMANUEL RAUL</t>
  </si>
  <si>
    <t>MURGUIA GONZALEZ CYNTHIA BEATRIZ</t>
  </si>
  <si>
    <t>Planeación y Organización del Trabajo</t>
  </si>
  <si>
    <t>OLMOS OLALDE VICTOR HUGO</t>
  </si>
  <si>
    <t>Formación Sociocultural III</t>
  </si>
  <si>
    <t>Habilidades Socioemocionales y Manejo de Conflictos.</t>
  </si>
  <si>
    <t>ORDOÑEZ MORALES LUIS MARTIN</t>
  </si>
  <si>
    <t>Fotografía Digital</t>
  </si>
  <si>
    <t>Semiótica y Hermenéutica</t>
  </si>
  <si>
    <t>Integradora I</t>
  </si>
  <si>
    <t>PEREZ SANCHEZ RAFAEL</t>
  </si>
  <si>
    <t>Diseño de Interfaz Web</t>
  </si>
  <si>
    <t>Cálculo Diferencial</t>
  </si>
  <si>
    <t>Planeación y Organización del Trabajo_*</t>
  </si>
  <si>
    <t>MTRO. OSCAR ARMANDO BAEZA HUICOCHEA</t>
  </si>
  <si>
    <t>RAMOS GAMA JOSELYN KAREN</t>
  </si>
  <si>
    <t>Diseño Publicitario y Medios Digitales</t>
  </si>
  <si>
    <t>Costos</t>
  </si>
  <si>
    <t>Mercadotecnia Digital</t>
  </si>
  <si>
    <t>RODRIGUEZ RIVERA NAYELI BERENICE</t>
  </si>
  <si>
    <t>Proceso Administrativo</t>
  </si>
  <si>
    <t>Probabilidad y Estadística.</t>
  </si>
  <si>
    <t>RODRIGUEZ SANCHEZ LUIS FERNANDO</t>
  </si>
  <si>
    <t>Arquitectura de Computadoras y Servidores.</t>
  </si>
  <si>
    <t>ROJAS DIEGO RAUL</t>
  </si>
  <si>
    <t>Diseño Gráfico Experimental</t>
  </si>
  <si>
    <t>ROMERO ROJAS RUTH MARCELA</t>
  </si>
  <si>
    <t>ROSAS DUARTE ROSA RUTH</t>
  </si>
  <si>
    <t>SANTIAGO SALAZAR FAUSTINO</t>
  </si>
  <si>
    <t>SERRANO SILVA IVAN ENRIQUE</t>
  </si>
  <si>
    <t>Proceso de Diseño</t>
  </si>
  <si>
    <t>TIRADOR GOMEZ DANIELA LIZETH</t>
  </si>
  <si>
    <t>Administración del Tiempo_*</t>
  </si>
  <si>
    <t>TORRES HERNANDEZ LUIS ENRIQUE</t>
  </si>
  <si>
    <t>TORRES RODRIGUEZ KATHERINNE ARANZA</t>
  </si>
  <si>
    <t>Dirección de Equipos de Alto Rendimiento</t>
  </si>
  <si>
    <t>Negociación Empresarial</t>
  </si>
  <si>
    <t>Administración del Tiempo</t>
  </si>
  <si>
    <t>VALADEZ VARGAS ALEJANDRO</t>
  </si>
  <si>
    <t>Administración Avanzada de Infraestructura Virtualizada</t>
  </si>
  <si>
    <t>Dirección de Proyectos I</t>
  </si>
  <si>
    <t>VARELA OLMOS VIOLETA</t>
  </si>
  <si>
    <t>Matemáticas Discretas.</t>
  </si>
  <si>
    <t>VAZQUEZ BARRERA MARIA DE LOS ANGELES</t>
  </si>
  <si>
    <t>VILLA CUETO MA. ISABEL</t>
  </si>
  <si>
    <t>ZAMACONA PRADO NAYELI</t>
  </si>
  <si>
    <t>Mercadotecnia</t>
  </si>
  <si>
    <t>Metodología de Diseño</t>
  </si>
  <si>
    <t>Diseño Editorial Digital</t>
  </si>
  <si>
    <t>id</t>
  </si>
  <si>
    <t>nombre</t>
  </si>
  <si>
    <t>cargo</t>
  </si>
  <si>
    <t>div</t>
  </si>
  <si>
    <t>uGradoEtudios</t>
  </si>
  <si>
    <t>PA</t>
  </si>
  <si>
    <t>RT</t>
  </si>
  <si>
    <t>TIC / RT</t>
  </si>
  <si>
    <t>GARCIA GONZALEZ NORA</t>
  </si>
  <si>
    <t>GOMEZ GONZALEZ ARTURO</t>
  </si>
  <si>
    <t>HERNANDEZ CRUZ MARIA GUADALUPE</t>
  </si>
  <si>
    <t>TIC / RT / AD</t>
  </si>
  <si>
    <t>MI / RT</t>
  </si>
  <si>
    <t>TA / AD / RT</t>
  </si>
  <si>
    <t>RODRIGUEZ SANTOS VICTOR</t>
  </si>
  <si>
    <t>TIC / TA / RT</t>
  </si>
  <si>
    <t>DDA</t>
  </si>
  <si>
    <t>BASTIDA MIRANDA JULIO</t>
  </si>
  <si>
    <t>PTC</t>
  </si>
  <si>
    <t>CASAS GOMEZ VICTOR MANUEL</t>
  </si>
  <si>
    <t>DESCHAMPS SOLORZANO JOSE ALEJANDRO</t>
  </si>
  <si>
    <t>ESPINOSA JIMENEZ MARIA MARGARITA</t>
  </si>
  <si>
    <t>GARCIA ROMERO LUIS ANGEL</t>
  </si>
  <si>
    <t>HERNANDEZ JIMENEZ ARTURO</t>
  </si>
  <si>
    <t>HIDALGO BAEZA MARIA DEL CARMEN</t>
  </si>
  <si>
    <t>MARQUEZ SANCHEZ DANIEL MAURICIO</t>
  </si>
  <si>
    <t>MONDRAGON DIEGO JOSE LUIS</t>
  </si>
  <si>
    <t>MORENO LOAIZA CAROLINA</t>
  </si>
  <si>
    <t>OLMOS ZARIÑAN GRISELDA</t>
  </si>
  <si>
    <t>TELLEZ VELAZQUEZ SERGIO</t>
  </si>
  <si>
    <t>AGUILAR ALANIS MARIA LUISA</t>
  </si>
  <si>
    <t>AGUILAR DOMINGUEZ GABRIELA</t>
  </si>
  <si>
    <t>AGUILAR MARIN FERNANDO ISAIAS</t>
  </si>
  <si>
    <t>AGUILAR RIVERA GERARDO</t>
  </si>
  <si>
    <t>ALCANTARA BARRIOS CONCEPCION LILIANA</t>
  </si>
  <si>
    <t>ALCANTARA BARRIOS NORMA SOFIA</t>
  </si>
  <si>
    <t>ALCARAZ SEVILLA CESAR JAVIER</t>
  </si>
  <si>
    <t>ALVAREZ CANO SUSANO</t>
  </si>
  <si>
    <t>AMADOR GONZALEZ MARIA TERESA</t>
  </si>
  <si>
    <t>ARIAS CALLA JOVITA GENARA</t>
  </si>
  <si>
    <t>ARIAS MARTINEZ JESUS ISRAEL</t>
  </si>
  <si>
    <t>ASCENCIO TELLEZ ROSA ATZIRI</t>
  </si>
  <si>
    <t>AYALA LOZANO JUAN FRANCISCO</t>
  </si>
  <si>
    <t>BACHO TORRES JOSE LUIS</t>
  </si>
  <si>
    <t xml:space="preserve">BARRERA MARTINEZ AZUCENA </t>
  </si>
  <si>
    <t>BARRERA VARGAS PATRICIA</t>
  </si>
  <si>
    <t>BARRERA VAZQUEZ MIRIAM</t>
  </si>
  <si>
    <t>BERMUDEZ JIMENEZ RAFAEL</t>
  </si>
  <si>
    <t>BLANCAS REYES RICARDO DE JESUS</t>
  </si>
  <si>
    <t>BRAVO SANCHEZ KARINA</t>
  </si>
  <si>
    <t>BUENO AGUILAR MARIA LOAMI</t>
  </si>
  <si>
    <t>BUSTAMANTE CRUZ ARMANDO</t>
  </si>
  <si>
    <t>CABRERA HERNANDEZ PABLO</t>
  </si>
  <si>
    <t>CALLEJA AGUILAR MARIA ISABEL</t>
  </si>
  <si>
    <t>CAMACHO TAPIA MIGUEL ANGEL</t>
  </si>
  <si>
    <t>CARRASCO MONDRAGON ALDO JESUS</t>
  </si>
  <si>
    <t>CASTELLANOS SUMANO MARIA AURORA</t>
  </si>
  <si>
    <t>CHAVEZ CHAVEZ JAQUELINE</t>
  </si>
  <si>
    <t>CHAVEZ CONTRERAS GABRIELA</t>
  </si>
  <si>
    <t>CHAVEZ VAZQUEZ MARIA MONSERRATH</t>
  </si>
  <si>
    <t>CORDERO CONTRERAS VIRIDIANA</t>
  </si>
  <si>
    <t>CRUZ GODINEZ MARIA GUADALUPE</t>
  </si>
  <si>
    <t>CRUZ SANTOS LUIS ENRIQUE</t>
  </si>
  <si>
    <t>CUELLAR SERRANO JOSE NOE</t>
  </si>
  <si>
    <t>DE LA CRUZ MIRELES OSCAR RICARDO</t>
  </si>
  <si>
    <t>DE LA CRUZ PERCASTRE MARTHA</t>
  </si>
  <si>
    <t>DE LA LUZ VARGAS OSCAR</t>
  </si>
  <si>
    <t>DE LA PAZ TAPIA LAURA JANNET</t>
  </si>
  <si>
    <t>DELGADO VEGA HUBERT</t>
  </si>
  <si>
    <t>DIAZ MONTES DE OCA SANDRA IVETH</t>
  </si>
  <si>
    <t>DUEÑAS RODRIGUEZ LAURA</t>
  </si>
  <si>
    <t>ESPINOSA PORTILLO OLIVIA</t>
  </si>
  <si>
    <t>FONSECA BERNAL MIRYAM</t>
  </si>
  <si>
    <t>FONSECA GARCIA MARIA GUADALUPE</t>
  </si>
  <si>
    <t>FONSECA LAMAS JENIFER</t>
  </si>
  <si>
    <t xml:space="preserve">FONSECA SOTO MARIA DEL ROCIO </t>
  </si>
  <si>
    <t>FRANCO GOMEZ ARMANDO</t>
  </si>
  <si>
    <t>FUENTES FLORES BENICE</t>
  </si>
  <si>
    <t>FUENTES ROMERO MARIA TERESA</t>
  </si>
  <si>
    <t>GALICIA PEREZ VERONICA ISABEL</t>
  </si>
  <si>
    <t>GALVAN LEO BEATRIZ</t>
  </si>
  <si>
    <t>GAMBOA ARELLANO SANDRA</t>
  </si>
  <si>
    <t>GARCIA CASAS MA. GUADALUPE WENDY</t>
  </si>
  <si>
    <t>GARCIA GONZALEZ DULCE MARIA</t>
  </si>
  <si>
    <t>GARCIA MARTINEZ VERONICA</t>
  </si>
  <si>
    <t>GARCIA Y GONZALEZ PAOLA ALEXANDRIA</t>
  </si>
  <si>
    <t>GARDUÑO GARDUÑO LORENA</t>
  </si>
  <si>
    <t>GARRIDO TEJADA DEMETRIO (LICENCIA)</t>
  </si>
  <si>
    <t>GOMEZ BOLAÑOS JEANNINE</t>
  </si>
  <si>
    <t>GONZALEZ GOMEZ MARIA MAGDALENA</t>
  </si>
  <si>
    <t>GONZALEZ GUTIERREZ ANHAY (LICENCIA)</t>
  </si>
  <si>
    <t>GONZALEZ JIMENEZ NOEMI GUADALUPE</t>
  </si>
  <si>
    <t>GRANADOS ANGEL IVONNE</t>
  </si>
  <si>
    <t>GRANADOS OLVERA JORGE ALBERTO</t>
  </si>
  <si>
    <t>HERNANDEZ CHIÑAS PABLO ENRIQUE (BAJA)</t>
  </si>
  <si>
    <t>HERNANDEZ FLORES JUAN JOSE</t>
  </si>
  <si>
    <t>HERNANDEZ GARCIA MIGUEL ANGEL</t>
  </si>
  <si>
    <t>HERNANDEZ JUAREZ JUDITH</t>
  </si>
  <si>
    <t>HERNANDEZ MAURO LETICIA</t>
  </si>
  <si>
    <t>HIDALGO GONZALEZ TONATIUH</t>
  </si>
  <si>
    <t>INIESTA MOCTEZUMA IVAN ESTEBAN</t>
  </si>
  <si>
    <t>JUAREZ AGUILAR JAVIER</t>
  </si>
  <si>
    <t>JUAREZ ROSAS CARLOS ALBERTO</t>
  </si>
  <si>
    <t>LUNA MONROY PATRICIA</t>
  </si>
  <si>
    <t>LUVIANO ELIZALDE LIZBETH</t>
  </si>
  <si>
    <t>MARQUEZ ELOIZA JOSE ENRIQUE</t>
  </si>
  <si>
    <t>MARQUEZ GARCIA ELIAS ROBERTO</t>
  </si>
  <si>
    <t>MARTINEZ ANAYA SUSANA NABIL</t>
  </si>
  <si>
    <t>MARTINEZ LUGO RICARDO</t>
  </si>
  <si>
    <t>MARTINEZ MARTINEZ CARLOS ADRIAN</t>
  </si>
  <si>
    <t>MARTINEZ MARTINEZ JAVIER ALFREDO</t>
  </si>
  <si>
    <t>MARTINEZ ORNELAS ABIGAIL</t>
  </si>
  <si>
    <t>MATURANO NIETO DAVID</t>
  </si>
  <si>
    <t>MATURANO NIETO MARCO ANTONIO</t>
  </si>
  <si>
    <t>MAXIMO ALVAREZ MIRENA</t>
  </si>
  <si>
    <t>MEDINA ROMERO LIZBETH</t>
  </si>
  <si>
    <t>MEJIA SALAZAR RAUL</t>
  </si>
  <si>
    <t>MENDEZ AMBROSIO MARITZA NORMA</t>
  </si>
  <si>
    <t>MENDIETA ESPINOZA ZURID SADAY</t>
  </si>
  <si>
    <t>MERCADO CHANOCUA HECTOR</t>
  </si>
  <si>
    <t>MICHEL HERNANDEZ EMMANUEL</t>
  </si>
  <si>
    <t>MOLINA GOMEZ EVANGELINA</t>
  </si>
  <si>
    <t>MONTES CUEVAS FELIPE</t>
  </si>
  <si>
    <t>MORALES GONZALEZ JESUS RAUL</t>
  </si>
  <si>
    <t>MORALES MARQUEZ IRMA ALEJANDRA</t>
  </si>
  <si>
    <t>MUÑOZ HERNANDEZ GABRIEL</t>
  </si>
  <si>
    <t>NIETO RODRIGUEZ MA DEL CARMEN</t>
  </si>
  <si>
    <t>NUÑEZ GOMEZ ELIA</t>
  </si>
  <si>
    <t>OLMOS DOMINGUEZ VICTOR HUGO</t>
  </si>
  <si>
    <t>ORDOÑEZ DEL VILLAR NORMA IMELDA</t>
  </si>
  <si>
    <t>ORTIZ ZUÑIGA HECTOR</t>
  </si>
  <si>
    <t>ORTUÑO HINOJOSA VICENTE</t>
  </si>
  <si>
    <t>ORTUÑO PINEDA LORENA</t>
  </si>
  <si>
    <t>ORTUÑO PINEDA MARIA LEOPOLDA</t>
  </si>
  <si>
    <t>PADILLA GOMEZ RAUL</t>
  </si>
  <si>
    <t>PATRICIO MAURO CLAUDIA</t>
  </si>
  <si>
    <t>PEREZ LOREDO MARIA GUADALUPE</t>
  </si>
  <si>
    <t>PEREZ SANTOS LUZ GABRIELA</t>
  </si>
  <si>
    <t>PEREZ VALERA ELOY</t>
  </si>
  <si>
    <t>RAMIREZ GONZALEZ TEODORA</t>
  </si>
  <si>
    <t>REZA GONZALEZ ABIGAIL ALEJANDRA</t>
  </si>
  <si>
    <t>RIVAS REYES GERARDO</t>
  </si>
  <si>
    <t>RIVERA PASCUAL MARCOS FERNANDO</t>
  </si>
  <si>
    <t>ROA ALONSO JUAN JAVIER</t>
  </si>
  <si>
    <t>ROA RAMIREZ FIDEL JOEL</t>
  </si>
  <si>
    <t>RODRIGUEZ BLANCAS MARIA DEL CARMEN</t>
  </si>
  <si>
    <t>RODRIGUEZ MADRIGAL JESUS RAUL</t>
  </si>
  <si>
    <t>ROGEL MARTINEZ RIGOBERTO</t>
  </si>
  <si>
    <t>ROGEL MARTINEZ SANTOS</t>
  </si>
  <si>
    <t>ROJAS MIRANDA RICARDO</t>
  </si>
  <si>
    <t>ROJAS ROBLES JOSE ROBERTO</t>
  </si>
  <si>
    <t>ROMO OLVERA BEATRIZ</t>
  </si>
  <si>
    <t>ROSAS GOMEZ ELBA</t>
  </si>
  <si>
    <t>SANCHEZ CAMPOS TATIANA ELIZABETH</t>
  </si>
  <si>
    <t>SANCHEZ GARITA ROMUALDO</t>
  </si>
  <si>
    <t>SANCHEZ GOMEZ JOSE EULALIO</t>
  </si>
  <si>
    <t>SANCHEZ LOPEZ KARINA</t>
  </si>
  <si>
    <t>SANCHEZ ROJAS MARIA DEL CARMEN</t>
  </si>
  <si>
    <t>SANTOS PAULIN DANIELA</t>
  </si>
  <si>
    <t>TELLEZ AYALA MARTHA</t>
  </si>
  <si>
    <t>TERRAZAS RAMIREZ JORGE</t>
  </si>
  <si>
    <t>TINOCO VILLALBA MIREYA</t>
  </si>
  <si>
    <t>TOLEDO TREJO ERIKA</t>
  </si>
  <si>
    <t>URIBE HERNANDEZ MIRIAM</t>
  </si>
  <si>
    <t>VALENCIA RAMIREZ IGNACIO</t>
  </si>
  <si>
    <t>VARGAS GONZALEZ VIRGILIO</t>
  </si>
  <si>
    <t>VARGAS HERNANDEZ VICTOR</t>
  </si>
  <si>
    <t>VARGAS MARTINEZ FABIOLA LILIANA</t>
  </si>
  <si>
    <t>VARGAS SOLANO YEREMI</t>
  </si>
  <si>
    <t>VELARDE ARZATE MELVA (LICENCIA)</t>
  </si>
  <si>
    <t>VELAZQUEZ MORENO SAULO</t>
  </si>
  <si>
    <t>VERON AZCUE JOSE VICTOR</t>
  </si>
  <si>
    <t>VITE ORTIZ BERENICE</t>
  </si>
  <si>
    <t>ZAMORA LUCERO ISAMARA</t>
  </si>
  <si>
    <t>ZAMORA TAPIA CARMEN ADRIANA</t>
  </si>
  <si>
    <t>ZAPATA NARVAEZ CARLOS RENE</t>
  </si>
  <si>
    <t>name</t>
  </si>
  <si>
    <t>codigo</t>
  </si>
  <si>
    <t>cuatri</t>
  </si>
  <si>
    <t>hsm</t>
  </si>
  <si>
    <t>Inglés I.</t>
  </si>
  <si>
    <t>24CD001</t>
  </si>
  <si>
    <t>Nuevo</t>
  </si>
  <si>
    <t>Desarrollo Humano y Valores.</t>
  </si>
  <si>
    <t>24CD002</t>
  </si>
  <si>
    <t>Fundamentos Matemáticos.</t>
  </si>
  <si>
    <t>24CD003</t>
  </si>
  <si>
    <t>Física.</t>
  </si>
  <si>
    <t>24CD004</t>
  </si>
  <si>
    <t>Fundamentos de Algoritmos.</t>
  </si>
  <si>
    <t>24CD005</t>
  </si>
  <si>
    <t>Introducción a la Ingeniería de Datos.</t>
  </si>
  <si>
    <t>24CD006</t>
  </si>
  <si>
    <t>Comunicación y Habilidades Digitales.</t>
  </si>
  <si>
    <t>24CD007</t>
  </si>
  <si>
    <t>Tutoría I.</t>
  </si>
  <si>
    <t>Actividades Culturales y Deportivas I.</t>
  </si>
  <si>
    <t>Inglés II.</t>
  </si>
  <si>
    <t>24CD008</t>
  </si>
  <si>
    <t>24CD009</t>
  </si>
  <si>
    <t>Cálculo Diferencial.</t>
  </si>
  <si>
    <t>24CD010</t>
  </si>
  <si>
    <t>24CD011</t>
  </si>
  <si>
    <t>24CD012</t>
  </si>
  <si>
    <t>24CD013</t>
  </si>
  <si>
    <t>24CD014</t>
  </si>
  <si>
    <t>Tutoría II.</t>
  </si>
  <si>
    <t>Actividades Culturales y Deportivas II.</t>
  </si>
  <si>
    <t>24DAD001</t>
  </si>
  <si>
    <t>24DAD002</t>
  </si>
  <si>
    <t>24DAD003</t>
  </si>
  <si>
    <t>24DAD004</t>
  </si>
  <si>
    <t>24DAD005</t>
  </si>
  <si>
    <t>24DAD006</t>
  </si>
  <si>
    <t>24DAD007</t>
  </si>
  <si>
    <t>24DAD008</t>
  </si>
  <si>
    <t>24DAD009</t>
  </si>
  <si>
    <t>24DAD010</t>
  </si>
  <si>
    <t>24DAD011</t>
  </si>
  <si>
    <t>24DAD012</t>
  </si>
  <si>
    <t>24DAD013</t>
  </si>
  <si>
    <t>24DAD014</t>
  </si>
  <si>
    <t>18DDA017</t>
  </si>
  <si>
    <t>Anterior</t>
  </si>
  <si>
    <t>18DDA018</t>
  </si>
  <si>
    <t>Ilustración II</t>
  </si>
  <si>
    <t>18DDA019</t>
  </si>
  <si>
    <t>18DDA020</t>
  </si>
  <si>
    <t>18DDA021</t>
  </si>
  <si>
    <t>18DDA022</t>
  </si>
  <si>
    <t>Inglés III</t>
  </si>
  <si>
    <t>18DDA023</t>
  </si>
  <si>
    <t>18DDA024</t>
  </si>
  <si>
    <t>18DDA025</t>
  </si>
  <si>
    <t>18DDA026</t>
  </si>
  <si>
    <t>18DDA027</t>
  </si>
  <si>
    <t>18DDA028</t>
  </si>
  <si>
    <t>18DDA029</t>
  </si>
  <si>
    <t>18DDA030</t>
  </si>
  <si>
    <t>18DDA031</t>
  </si>
  <si>
    <t>Inglés IV</t>
  </si>
  <si>
    <t>18DDA032</t>
  </si>
  <si>
    <t>Formación Sociocultural IV</t>
  </si>
  <si>
    <t>18DDA033</t>
  </si>
  <si>
    <t>18DDA034</t>
  </si>
  <si>
    <t>18DDA035</t>
  </si>
  <si>
    <t>18DDA036</t>
  </si>
  <si>
    <t>18DDA037</t>
  </si>
  <si>
    <t>Inglés V</t>
  </si>
  <si>
    <t>18DDA038</t>
  </si>
  <si>
    <t>18DDA039</t>
  </si>
  <si>
    <t>20LDDPA001</t>
  </si>
  <si>
    <t>20LDDPA002</t>
  </si>
  <si>
    <t>20LDDPA003</t>
  </si>
  <si>
    <t>20LDDPA004</t>
  </si>
  <si>
    <t>20LDDPA005</t>
  </si>
  <si>
    <t>Inglés VI</t>
  </si>
  <si>
    <t>20LDDPA006</t>
  </si>
  <si>
    <t>20LDDPA007</t>
  </si>
  <si>
    <t>20LDDPA008</t>
  </si>
  <si>
    <t>20LDDPA009</t>
  </si>
  <si>
    <t>20LDDPA010</t>
  </si>
  <si>
    <t>Inglés VII</t>
  </si>
  <si>
    <t>20LDDPA011</t>
  </si>
  <si>
    <t>20LDDPA012</t>
  </si>
  <si>
    <t>20LDDPA013</t>
  </si>
  <si>
    <t>20LDDPA014</t>
  </si>
  <si>
    <t>20LDDPA015</t>
  </si>
  <si>
    <t>Modelado y Espacios Virtuales</t>
  </si>
  <si>
    <t>20LDDPA016</t>
  </si>
  <si>
    <t>Inglés VIII</t>
  </si>
  <si>
    <t>20LDDPA017</t>
  </si>
  <si>
    <t>20LDDPA018</t>
  </si>
  <si>
    <t>20LDDPA019</t>
  </si>
  <si>
    <t>20LDDPA020</t>
  </si>
  <si>
    <t>Animación de Personajes 3D</t>
  </si>
  <si>
    <t>20LDDPA021</t>
  </si>
  <si>
    <t>20LDDPA022</t>
  </si>
  <si>
    <t>Inglés IX</t>
  </si>
  <si>
    <t>20LDDPA023</t>
  </si>
  <si>
    <t>20LDDPA024</t>
  </si>
  <si>
    <t>24IRD001</t>
  </si>
  <si>
    <t>24IRD002</t>
  </si>
  <si>
    <t>24IRD003</t>
  </si>
  <si>
    <t>Fundamentos de Redes.</t>
  </si>
  <si>
    <t>24IRD004</t>
  </si>
  <si>
    <t>24IRD005</t>
  </si>
  <si>
    <t>Fundamentos de Programación.</t>
  </si>
  <si>
    <t>24IRD006</t>
  </si>
  <si>
    <t>24IRD007</t>
  </si>
  <si>
    <t>24IRD008</t>
  </si>
  <si>
    <t>24IRD009</t>
  </si>
  <si>
    <t>24IRD010</t>
  </si>
  <si>
    <t>Conmutación y Enrutamiento de Redes.</t>
  </si>
  <si>
    <t>24IRD011</t>
  </si>
  <si>
    <t>24IRD012</t>
  </si>
  <si>
    <t>Programación Estructurada.</t>
  </si>
  <si>
    <t>24IRD013</t>
  </si>
  <si>
    <t>Sistemas Operativos.</t>
  </si>
  <si>
    <t>24IRD014</t>
  </si>
  <si>
    <t>18IRD017</t>
  </si>
  <si>
    <t>Conmutación de Redes de Datos</t>
  </si>
  <si>
    <t>18IRD018</t>
  </si>
  <si>
    <t>Infraestructura de Redes de Datos</t>
  </si>
  <si>
    <t>18IRD019</t>
  </si>
  <si>
    <t>Sistemas Operativos</t>
  </si>
  <si>
    <t>18IRD020</t>
  </si>
  <si>
    <t>Aplicaciones Web</t>
  </si>
  <si>
    <t>18IRD021</t>
  </si>
  <si>
    <t>18IRD022</t>
  </si>
  <si>
    <t>18IRD023</t>
  </si>
  <si>
    <t>18IRD024</t>
  </si>
  <si>
    <t>Probabilidad y Estadística</t>
  </si>
  <si>
    <t>18IRD025</t>
  </si>
  <si>
    <t>Electrónica para IDC</t>
  </si>
  <si>
    <t>18IRD026</t>
  </si>
  <si>
    <t>Conexión de Redes Wan</t>
  </si>
  <si>
    <t>18IRD027</t>
  </si>
  <si>
    <t>Administración de Servidores I</t>
  </si>
  <si>
    <t>18IRD028</t>
  </si>
  <si>
    <t>Programación de Redes</t>
  </si>
  <si>
    <t>18IRD029</t>
  </si>
  <si>
    <t>18IRD030</t>
  </si>
  <si>
    <t>18IRD031</t>
  </si>
  <si>
    <t>18IRD032</t>
  </si>
  <si>
    <t>Administración de Redes de Datos</t>
  </si>
  <si>
    <t>18IRD033</t>
  </si>
  <si>
    <t>Administración de Servidores II</t>
  </si>
  <si>
    <t>18IRD034</t>
  </si>
  <si>
    <t>Ciberseguridad</t>
  </si>
  <si>
    <t>18IRD035</t>
  </si>
  <si>
    <t>18IRD036</t>
  </si>
  <si>
    <t>18IRD037</t>
  </si>
  <si>
    <t>18IRD038</t>
  </si>
  <si>
    <t>Cálculo Integral</t>
  </si>
  <si>
    <t>20IRIC001</t>
  </si>
  <si>
    <t>20IRIC002</t>
  </si>
  <si>
    <t>20IRIC003</t>
  </si>
  <si>
    <t>Infraestructura de Centros de Datos</t>
  </si>
  <si>
    <t>20IRIC004</t>
  </si>
  <si>
    <t>20IRIC005</t>
  </si>
  <si>
    <t>20IRIC006</t>
  </si>
  <si>
    <t>20IRIC007</t>
  </si>
  <si>
    <t>20IRIC008</t>
  </si>
  <si>
    <t>20IRIC009</t>
  </si>
  <si>
    <t>20IRIC010</t>
  </si>
  <si>
    <t>20IRIC011</t>
  </si>
  <si>
    <t>20IRIC012</t>
  </si>
  <si>
    <t>Hacking Ético</t>
  </si>
  <si>
    <t>20IRIC013</t>
  </si>
  <si>
    <t>Automatización de Infraestructura Digital I</t>
  </si>
  <si>
    <t>20IRIC014</t>
  </si>
  <si>
    <t>Dirección de Proyectos II</t>
  </si>
  <si>
    <t>20IRIC015</t>
  </si>
  <si>
    <t>Sistemas de Calidad para TI</t>
  </si>
  <si>
    <t>20IRIC016</t>
  </si>
  <si>
    <t>Optativa: Inteligencia de Negocios</t>
  </si>
  <si>
    <t>20IRIC017</t>
  </si>
  <si>
    <t>20IRIC018</t>
  </si>
  <si>
    <t>20IRIC019</t>
  </si>
  <si>
    <t>Informática Forense</t>
  </si>
  <si>
    <t>20IRIC020</t>
  </si>
  <si>
    <t>Automatización de Infraestructura Digital II</t>
  </si>
  <si>
    <t>20IRIC021</t>
  </si>
  <si>
    <t>Administración de Redes Empresariales</t>
  </si>
  <si>
    <t>20IRIC022</t>
  </si>
  <si>
    <t>Integradora</t>
  </si>
  <si>
    <t>20IRIC023</t>
  </si>
  <si>
    <t>20IRIC024</t>
  </si>
  <si>
    <t>20IRIC025</t>
  </si>
  <si>
    <t>Célula de Diseño</t>
  </si>
  <si>
    <t>CRUZ GARCIA MISAEL</t>
  </si>
  <si>
    <t>Actividades Académicas</t>
  </si>
  <si>
    <t>Habilidades Socioemocionales y Manejo de Conflictos</t>
  </si>
  <si>
    <t>Habilidades Socioemocionales y Manejo de Conflictos._</t>
  </si>
  <si>
    <t>ING. OSCAR ARMANDO BAEZA HUICOCHEA</t>
  </si>
  <si>
    <t>Desarrollo Humano y Valores._</t>
  </si>
  <si>
    <t>Fundamentos Matemáticos._</t>
  </si>
  <si>
    <t>Fundamentos de Diseño y del Lenguaje Visual._</t>
  </si>
  <si>
    <t>Representación Visual._</t>
  </si>
  <si>
    <t>Comunicación Gráfica._</t>
  </si>
  <si>
    <t>Comunicación y Habilidades Digitales._</t>
  </si>
  <si>
    <t>MTRO. LUIS DANIEL VARGAS GUTIÉRREZ</t>
  </si>
  <si>
    <t>DIRECTOR DE LA DIVISIÓN ACADÉMICA DE CONTABILIDAD CORPORATIVA</t>
  </si>
  <si>
    <t>DIRECTOR DE LA DIVISIÓN ACADÉMICA DE TELEMÁTICA</t>
  </si>
  <si>
    <t>Nombre</t>
  </si>
  <si>
    <t>Grupo y Asignatura</t>
  </si>
  <si>
    <t xml:space="preserve">IRICE701 - Tecnologias para Manejo Masivo de Datos_x000D_
IRICE801 - Cómputo en la Nube_x000D_
IRICE802 - Cómputo en la Nube_x000D_
</t>
  </si>
  <si>
    <t xml:space="preserve">LDDPAE804 - Imagen Corporativa_x000D_
DDA502 - Imagen Digital Animada_x000D_
DDA501 - Animación en 3D_x000D_
DDA401 - Animación en 2D_x000D_
DAD101 - Comunicación Gráfica.__x000D_
</t>
  </si>
  <si>
    <t xml:space="preserve">DAD202 - Representación Geométrica._x000D_
</t>
  </si>
  <si>
    <t xml:space="preserve">IRICE801 - Matemáticas para Ingeniería I_x000D_
IRICE802 - Matemáticas para Ingeniería I_x000D_
</t>
  </si>
  <si>
    <t xml:space="preserve">DAD208 - Representación Geométrica._x000D_
DDA209 - Geometría Descriptiva._x000D_
DDA206 - Geometría Descriptiva._x000D_
DDA401 - Física_x000D_
</t>
  </si>
  <si>
    <t xml:space="preserve">DDA505 - Integradora II_x000D_
LDDPA1001 - Gestión de Proyectos_x000D_
DAD205 - Modelado Manual._x000D_
DAD206 - Modelado Manual._x000D_
DAD207 - Modelado Manual._x000D_
DDA208 - Modelado Manual._x000D_
</t>
  </si>
  <si>
    <t xml:space="preserve">DDA503 - Animación en 3D_x000D_
DDA301 - Software CAD_x000D_
DAD201 - Modelado Manual._x000D_
DAD202 - Modelado Manual._x000D_
DDA502 - Animación en 3D_x000D_
</t>
  </si>
  <si>
    <t xml:space="preserve">DSM 401 - Evaluacion y mejora para el  Desarrollo de Software _x000D_
DSM 501 - Integradora_x000D_
DSM 502 - Integradora_x000D_
DGSE802 - Desarrollo Web Profesional _x000D_
IRICE802 - Gestión de La Seguridad Informática_x000D_
</t>
  </si>
  <si>
    <t xml:space="preserve">LDDPAE804 - Animación 2D Avanzada_x000D_
DDA504 - Animación en 3D_x000D_
DDA505 - Imagen Digital Animada_x000D_
DDA503 - Imagen Digital Animada_x000D_
</t>
  </si>
  <si>
    <t xml:space="preserve">DAD206 - Representación Geométrica._x000D_
DAD207 - Representación Geométrica._x000D_
DAD204 - Mercadotecnia._x000D_
DDA401 - Formación Sociocultural IV_x000D_
DDA502 - Expresión Oral y Escrita II °_x000D_
DDA301 - Mercadotecnia_x000D_
DDA501 - Integradora II_x000D_
DAD101 - Representación Visual.__x000D_
</t>
  </si>
  <si>
    <t xml:space="preserve">CD201 - Programación._x000D_
IRD501 - Introducción a Big Data_x000D_
IRD502 - Introducción a Big Data_x000D_
</t>
  </si>
  <si>
    <t xml:space="preserve">DDA504 - Edición de Audio y Video_x000D_
DDA505 - Edición de Audio y Video_x000D_
LDDPA901 - Proceso de Producción Audiovisual_x000D_
DAD203 - Modelado Manual._x000D_
DDA503 - Expresión Oral y Escrita II__x000D_
</t>
  </si>
  <si>
    <t xml:space="preserve">LDDPA701 - Estadística_x000D_
LDDPA702 - Estadística_x000D_
DAD205 - Geometría Descriptiva._x000D_
DAD208 - Geometría Descriptiva._x000D_
DDA401 - Prototipos_x000D_
</t>
  </si>
  <si>
    <t xml:space="preserve">DAD201 - Ilustración Digital._x000D_
DAD202 - Ilustración Digital._x000D_
DDA502 - Integradora II_x000D_
</t>
  </si>
  <si>
    <t xml:space="preserve">LDDPA1001 - Postproducción Audiovisual_x000D_
LDDPA701 - Estética Digital_x000D_
LDDPA702 - Estética Digital_x000D_
DAD209 - Representación Geométrica._x000D_
</t>
  </si>
  <si>
    <t xml:space="preserve">LDDPA801 - Planeación y Organización del Trabajo_x000D_
LDDPA802 - Planeación y Organización del Trabajo_x000D_
LDDPA803 - Planeación y Organización del Trabajo_x000D_
</t>
  </si>
  <si>
    <t xml:space="preserve">DDA301 - Formación Sociocultural III_x000D_
CD201 - Habilidades Socioemocionales y Manejo de Conflictos._x000D_
IRD201 - Habilidades Socioemocionales y Manejo de Conflictos_x000D_
IRD202 - Habilidades Socioemocionales y Manejo de Conflictos_x000D_
IRD501 - Expresión Oral y Escrita II °_x000D_
IRD502 - Expresión Oral y Escrita II °_x000D_
</t>
  </si>
  <si>
    <t xml:space="preserve">DAD209 - Modelado Manual._x000D_
DAD203 - Ilustración Digital._x000D_
DDA301 - Fotografía Digital_x000D_
DDA401 - Integradora I_x000D_
LDDPA701 - Semiótica y Hermenéutica_x000D_
LDDPA702 - Semiótica y Hermenéutica_x000D_
</t>
  </si>
  <si>
    <t xml:space="preserve">LDDPA801 - Diseño de Interfaz Web_x000D_
IRICE701 - Cálculo Diferencial_x000D_
IRICE801 - Planeación y Organización del Trabajo_*_x000D_
IRICE802 - Planeación y Organización del Trabajo_*_x000D_
</t>
  </si>
  <si>
    <t xml:space="preserve">LDDPA901 - Diseño Publicitario y Medios Digitales_x000D_
DDA207 - Mercadotecnia._x000D_
DDA301 - Costos_x000D_
LDDPA701 - Mercadotecnia Digital_x000D_
LDDPA702 - Mercadotecnia Digital_x000D_
DAD208 - Mercadotecnia._x000D_
DAD209 - Mercadotecnia._x000D_
DAD205 - Mercadotecnia._x000D_
LDDPA901 - Dirección de Equipos de Alto Rendimiento_x000D_
</t>
  </si>
  <si>
    <t xml:space="preserve">DDA301 - Proceso Administrativo_x000D_
CD201 - Probabilidad y Estadística._x000D_
DAD207  - Geometría Descriptiva._x000D_
</t>
  </si>
  <si>
    <t xml:space="preserve">LDDPA802 - Diseño de Interfaz Web_x000D_
LDDPAE804 - Diseño de Interfaz Web_x000D_
CD201 - Arquitectura de Computadoras y Servidores._x000D_
LDDPA803 - Diseño de Interfaz Web_x000D_
</t>
  </si>
  <si>
    <t xml:space="preserve">LDDPA801 - Imagen Corporativa_x000D_
LDDPA802 - Imagen Corporativa_x000D_
LDDPA803 - Imagen Corporativa_x000D_
LDDPA901 - Diseño Gráfico Experimental_x000D_
DDA401 - Guionismo y Storyboard_x000D_
DDA503 - Integradora II_x000D_
DAD204 - Ilustración Digital._x000D_
DAD205 - Ilustración Digital._x000D_
</t>
  </si>
  <si>
    <t xml:space="preserve">DAD204 - Habilidades Socioemocionales y Manejo de Conflictos.__x000D_
</t>
  </si>
  <si>
    <t xml:space="preserve">DAD201 - Habilidades Socioemocionales y Manejo de Conflictos.__x000D_
DAD202 - Habilidades Socioemocionales y Manejo de Conflictos.__x000D_
DAD101 - Desarrollo Humano y Valores.__x000D_
</t>
  </si>
  <si>
    <t xml:space="preserve">DAD206 - Ilustración Digital._x000D_
DAD207 - Ilustración Digital._x000D_
DAD208 - Ilustración Digital._x000D_
DAD209 - Ilustración Digital._x000D_
DAD204 - Representación Geométrica._x000D_
DDA401 - Proceso de Diseño_x000D_
</t>
  </si>
  <si>
    <t xml:space="preserve">LDDPAE804 - Planeación y Organización del Trabajo_x000D_
IRICE701 - Administración del Tiempo_*_x000D_
</t>
  </si>
  <si>
    <t xml:space="preserve">DDA501 - Imagen Digital Animada_x000D_
DDA504 - Imagen Digital Animada_x000D_
DAD205 - Representación Geométrica._x000D_
</t>
  </si>
  <si>
    <t xml:space="preserve">LDDPA701 - Administración del Tiempo_x000D_
LDDPA702 - Administración del Tiempo_x000D_
</t>
  </si>
  <si>
    <t xml:space="preserve">IRICE701 - Administración Avanzada de Infraestructura Virtualizada_x000D_
IRICE801 - Dirección de Proyectos I_x000D_
IRICE802 - Dirección de Proyectos I_x000D_
</t>
  </si>
  <si>
    <t xml:space="preserve">CD201 - Matemáticas Discretas._x000D_
DAD101 - Fundamentos Matemáticos.__x000D_
</t>
  </si>
  <si>
    <t xml:space="preserve">DDA501 - Expresión Oral y Escrita II__x000D_
DAD208 - Habilidades Socioemocionales y Manejo de Conflictos._x000D_
DAD101 - Comunicación y Habilidades Digitales.__x000D_
</t>
  </si>
  <si>
    <t xml:space="preserve">LDDPA701 - Metodología de Diseño_x000D_
LDDPA702 - Metodología de Diseño_x000D_
DAD201 - Mercadotecnia._x000D_
DAD202 - Mercadotecnia._x000D_
DAD203 - Mercadotecnia._x000D_
DDA401 - Diseño Editorial Digital_x000D_
DAD101 - Fundamentos de Diseño y del Lenguaje Visual.__x000D_
</t>
  </si>
  <si>
    <t>Wadhwani</t>
  </si>
  <si>
    <t>LIC. ALMA JAZMÍN VELÁZQUEZ TORRES</t>
  </si>
  <si>
    <t>NOMBRE Y FIRMA DE LA DIRECTORA ACADÉMICA</t>
  </si>
  <si>
    <t>MTRA. ZAIRA VARGAS SOLANO</t>
  </si>
  <si>
    <t>PERIODO CUATRIMESTRAL:  (MAYO - AGOSTO 2025) 2025-2</t>
  </si>
  <si>
    <t>VIGENCIA APARTIR DE:  01/05/2025 AL 30/08/2025</t>
  </si>
  <si>
    <t>NOMBRE DE LA DIVISIÓN:   TELEMÁTICA</t>
  </si>
  <si>
    <t>24CD015</t>
  </si>
  <si>
    <t>24CD016</t>
  </si>
  <si>
    <t>24CD017</t>
  </si>
  <si>
    <t>24CD018</t>
  </si>
  <si>
    <t>24CD019</t>
  </si>
  <si>
    <t>24CD020</t>
  </si>
  <si>
    <t>24CD021</t>
  </si>
  <si>
    <t>Inglés III*</t>
  </si>
  <si>
    <t>Desarrollo del Pensamiento y Toma de Decisiones*</t>
  </si>
  <si>
    <t>Cálculo Integral*</t>
  </si>
  <si>
    <t>Estructura de Datos*</t>
  </si>
  <si>
    <t>Procesamiento de Datos*</t>
  </si>
  <si>
    <t>Modelos Estadísticos*</t>
  </si>
  <si>
    <t>Proyecto Integrador I*</t>
  </si>
  <si>
    <t>Tutoría III*</t>
  </si>
  <si>
    <t>Actividades Culturales y Deportivas III*</t>
  </si>
  <si>
    <t>24DAD015</t>
  </si>
  <si>
    <t>24DAD016</t>
  </si>
  <si>
    <t>24DAD017</t>
  </si>
  <si>
    <t>24DAD018</t>
  </si>
  <si>
    <t>24DAD019</t>
  </si>
  <si>
    <t>24DAD020</t>
  </si>
  <si>
    <t>24DAD021</t>
  </si>
  <si>
    <t>Inglés III**</t>
  </si>
  <si>
    <t>Desarrollo del Pensamiento y Toma de Decisiones**</t>
  </si>
  <si>
    <t>Prototipos y Software 3D**</t>
  </si>
  <si>
    <t>Ilustración para Animación**</t>
  </si>
  <si>
    <t>Proceso de Diseño**</t>
  </si>
  <si>
    <t>Guionismo y Storyboard**</t>
  </si>
  <si>
    <t>Proyecto Integrador I**</t>
  </si>
  <si>
    <t>Tutoría III**</t>
  </si>
  <si>
    <t>Actividades Culturales y Deportivas III**</t>
  </si>
  <si>
    <t>24IRD015</t>
  </si>
  <si>
    <t>24IRD016</t>
  </si>
  <si>
    <t>24IRD017</t>
  </si>
  <si>
    <t>24IRD018</t>
  </si>
  <si>
    <t>24IRD019</t>
  </si>
  <si>
    <t>24IRD020</t>
  </si>
  <si>
    <t>24IRD021</t>
  </si>
  <si>
    <t>Inglés III_</t>
  </si>
  <si>
    <t>Desarrollo del Pensamiento y Toma de Decisiones_</t>
  </si>
  <si>
    <t>Cálculo Integral_</t>
  </si>
  <si>
    <t>Tópicos de Calidad para el Diseño de Software_</t>
  </si>
  <si>
    <t>Bases de Datos_</t>
  </si>
  <si>
    <t>Programación Orientada a Objetos_</t>
  </si>
  <si>
    <t>Proyecto Integrador I_</t>
  </si>
  <si>
    <t>Tutoría III_</t>
  </si>
  <si>
    <t>Actividades Culturales y Deportivas III_</t>
  </si>
  <si>
    <t>CD301</t>
  </si>
  <si>
    <t>IRD301</t>
  </si>
  <si>
    <t>IRD302</t>
  </si>
  <si>
    <t>Programación Orientada a Objetos_ IRD301</t>
  </si>
  <si>
    <t>Programación Orientada a Objetos_ IRD302</t>
  </si>
  <si>
    <t>Procesamiento de Datos* CD301</t>
  </si>
  <si>
    <t>Desarrollo del Pensamiento y Toma de Decisiones_ IRD301</t>
  </si>
  <si>
    <t>Desarrollo del Pensamiento y Toma de Decisiones_ IRD302</t>
  </si>
  <si>
    <t>Desarrollo del Pensamiento y Toma de Decisiones* CD301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</si>
</sst>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u/>
      <sz val="14"/>
      <color theme="1"/>
      <name val="Arial"/>
      <family val="2"/>
    </font>
    <font>
      <sz val="9"/>
      <color rgb="FF000000"/>
      <name val="Calibri"/>
      <family val="2"/>
    </font>
    <font>
      <sz val="14"/>
      <color rgb="FF000000"/>
      <name val="Calibri"/>
      <family val="2"/>
    </font>
    <font>
      <b/>
      <u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sz val="11"/>
      <color rgb="FF000000"/>
      <name val="Aptos Narrow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6" fillId="0" borderId="0"/>
  </cellStyleXfs>
  <cellXfs count="181">
    <xf numFmtId="0" fontId="0" fillId="0" borderId="0" xfId="0"/>
    <xf numFmtId="0" fontId="7" fillId="0" borderId="0" xfId="0" applyFont="1"/>
    <xf numFmtId="0" fontId="12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/>
    <xf numFmtId="0" fontId="12" fillId="0" borderId="0" xfId="0" applyFont="1" applyAlignment="1">
      <alignment horizontal="center"/>
    </xf>
    <xf numFmtId="0" fontId="16" fillId="0" borderId="0" xfId="0" applyFont="1"/>
    <xf numFmtId="0" fontId="14" fillId="0" borderId="0" xfId="0" applyFont="1"/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/>
    </xf>
    <xf numFmtId="49" fontId="17" fillId="0" borderId="18" xfId="0" applyNumberFormat="1" applyFont="1" applyBorder="1" applyAlignment="1">
      <alignment horizontal="left" vertical="center" wrapText="1"/>
    </xf>
    <xf numFmtId="0" fontId="19" fillId="0" borderId="0" xfId="0" applyFont="1"/>
    <xf numFmtId="0" fontId="17" fillId="0" borderId="21" xfId="0" applyFont="1" applyBorder="1" applyAlignment="1">
      <alignment horizontal="center" vertical="center"/>
    </xf>
    <xf numFmtId="49" fontId="17" fillId="0" borderId="22" xfId="0" applyNumberFormat="1" applyFont="1" applyBorder="1" applyAlignment="1">
      <alignment horizontal="left" vertical="center" wrapText="1"/>
    </xf>
    <xf numFmtId="0" fontId="17" fillId="0" borderId="26" xfId="0" applyFont="1" applyBorder="1" applyAlignment="1">
      <alignment horizontal="center" vertical="center"/>
    </xf>
    <xf numFmtId="49" fontId="17" fillId="0" borderId="27" xfId="0" applyNumberFormat="1" applyFont="1" applyBorder="1" applyAlignment="1">
      <alignment horizontal="left" vertical="center" wrapText="1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49" fontId="13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left"/>
    </xf>
    <xf numFmtId="49" fontId="10" fillId="0" borderId="0" xfId="0" applyNumberFormat="1" applyFont="1"/>
    <xf numFmtId="0" fontId="22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0" fontId="20" fillId="0" borderId="38" xfId="0" applyFont="1" applyBorder="1" applyAlignment="1">
      <alignment vertical="center"/>
    </xf>
    <xf numFmtId="0" fontId="30" fillId="0" borderId="38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/>
    </xf>
    <xf numFmtId="0" fontId="20" fillId="0" borderId="38" xfId="0" applyFont="1" applyBorder="1"/>
    <xf numFmtId="0" fontId="30" fillId="0" borderId="39" xfId="0" applyFont="1" applyBorder="1" applyAlignment="1">
      <alignment horizontal="center" vertical="center"/>
    </xf>
    <xf numFmtId="0" fontId="20" fillId="0" borderId="38" xfId="0" applyFont="1" applyBorder="1" applyAlignment="1">
      <alignment horizontal="left" vertical="center"/>
    </xf>
    <xf numFmtId="0" fontId="31" fillId="0" borderId="38" xfId="0" applyFont="1" applyBorder="1" applyAlignment="1">
      <alignment horizontal="center" vertical="center" wrapText="1"/>
    </xf>
    <xf numFmtId="0" fontId="21" fillId="0" borderId="38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7" fillId="0" borderId="7" xfId="0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50" xfId="0" applyFont="1" applyBorder="1" applyAlignment="1">
      <alignment horizontal="center" vertical="center"/>
    </xf>
    <xf numFmtId="49" fontId="17" fillId="0" borderId="50" xfId="0" applyNumberFormat="1" applyFont="1" applyBorder="1" applyAlignment="1">
      <alignment horizontal="left" vertical="center" wrapText="1"/>
    </xf>
    <xf numFmtId="0" fontId="17" fillId="0" borderId="35" xfId="0" applyFont="1" applyBorder="1" applyAlignment="1">
      <alignment horizontal="center" vertical="center"/>
    </xf>
    <xf numFmtId="49" fontId="17" fillId="0" borderId="36" xfId="0" applyNumberFormat="1" applyFont="1" applyBorder="1" applyAlignment="1">
      <alignment horizontal="left" vertical="center" wrapText="1"/>
    </xf>
    <xf numFmtId="0" fontId="17" fillId="0" borderId="37" xfId="0" applyFont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4" fillId="0" borderId="0" xfId="0" applyFont="1"/>
    <xf numFmtId="49" fontId="34" fillId="0" borderId="22" xfId="0" applyNumberFormat="1" applyFont="1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2" fillId="0" borderId="54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/>
    </xf>
    <xf numFmtId="49" fontId="17" fillId="0" borderId="59" xfId="0" applyNumberFormat="1" applyFont="1" applyBorder="1" applyAlignment="1">
      <alignment horizontal="left" vertical="center" wrapText="1"/>
    </xf>
    <xf numFmtId="0" fontId="1" fillId="0" borderId="0" xfId="0" applyFont="1"/>
    <xf numFmtId="16" fontId="9" fillId="0" borderId="10" xfId="0" applyNumberFormat="1" applyFont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/>
    <xf numFmtId="0" fontId="12" fillId="2" borderId="10" xfId="0" applyFont="1" applyFill="1" applyBorder="1" applyAlignment="1">
      <alignment horizontal="center" vertical="center" wrapText="1"/>
    </xf>
    <xf numFmtId="0" fontId="11" fillId="2" borderId="12" xfId="0" applyFont="1" applyFill="1" applyBorder="1"/>
    <xf numFmtId="0" fontId="12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2" fillId="0" borderId="10" xfId="0" applyFont="1" applyBorder="1" applyAlignment="1">
      <alignment horizontal="center" vertical="center" wrapText="1"/>
    </xf>
    <xf numFmtId="0" fontId="37" fillId="3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/>
    <xf numFmtId="0" fontId="12" fillId="0" borderId="28" xfId="0" applyFont="1" applyBorder="1" applyAlignment="1">
      <alignment horizontal="center" wrapText="1"/>
    </xf>
    <xf numFmtId="0" fontId="11" fillId="0" borderId="28" xfId="0" applyFont="1" applyBorder="1"/>
    <xf numFmtId="49" fontId="12" fillId="0" borderId="0" xfId="0" applyNumberFormat="1" applyFont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11" fillId="0" borderId="7" xfId="0" applyFont="1" applyBorder="1"/>
    <xf numFmtId="0" fontId="2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2" xfId="0" applyFont="1" applyBorder="1"/>
    <xf numFmtId="0" fontId="11" fillId="0" borderId="3" xfId="0" applyFont="1" applyBorder="1"/>
    <xf numFmtId="0" fontId="9" fillId="0" borderId="2" xfId="0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16" xfId="0" applyFont="1" applyBorder="1"/>
    <xf numFmtId="49" fontId="22" fillId="0" borderId="0" xfId="0" applyNumberFormat="1" applyFont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1" fillId="0" borderId="20" xfId="0" applyFont="1" applyBorder="1"/>
    <xf numFmtId="0" fontId="11" fillId="0" borderId="21" xfId="0" applyFont="1" applyBorder="1"/>
    <xf numFmtId="0" fontId="9" fillId="0" borderId="19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1" fillId="0" borderId="5" xfId="0" applyFont="1" applyBorder="1"/>
    <xf numFmtId="0" fontId="11" fillId="0" borderId="4" xfId="0" applyFont="1" applyBorder="1"/>
    <xf numFmtId="0" fontId="11" fillId="0" borderId="6" xfId="0" applyFont="1" applyBorder="1"/>
    <xf numFmtId="0" fontId="11" fillId="0" borderId="8" xfId="0" applyFont="1" applyBorder="1"/>
    <xf numFmtId="0" fontId="9" fillId="0" borderId="24" xfId="0" applyFont="1" applyBorder="1" applyAlignment="1">
      <alignment horizontal="center" vertical="center" wrapText="1"/>
    </xf>
    <xf numFmtId="0" fontId="11" fillId="0" borderId="25" xfId="0" applyFont="1" applyBorder="1"/>
    <xf numFmtId="0" fontId="11" fillId="0" borderId="26" xfId="0" applyFont="1" applyBorder="1"/>
    <xf numFmtId="0" fontId="9" fillId="0" borderId="10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7" xfId="0" applyFont="1" applyBorder="1" applyAlignment="1">
      <alignment horizontal="left"/>
    </xf>
    <xf numFmtId="0" fontId="17" fillId="0" borderId="15" xfId="0" applyFont="1" applyBorder="1" applyAlignment="1">
      <alignment horizontal="center" vertical="center"/>
    </xf>
    <xf numFmtId="0" fontId="11" fillId="0" borderId="17" xfId="0" applyFont="1" applyBorder="1"/>
    <xf numFmtId="0" fontId="9" fillId="0" borderId="1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7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1" fillId="0" borderId="9" xfId="0" applyFont="1" applyBorder="1"/>
    <xf numFmtId="0" fontId="11" fillId="0" borderId="14" xfId="0" applyFont="1" applyBorder="1"/>
    <xf numFmtId="0" fontId="11" fillId="0" borderId="23" xfId="0" applyFont="1" applyBorder="1"/>
    <xf numFmtId="0" fontId="12" fillId="0" borderId="10" xfId="0" applyFont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1" fillId="0" borderId="30" xfId="0" applyFont="1" applyBorder="1"/>
    <xf numFmtId="0" fontId="11" fillId="0" borderId="31" xfId="0" applyFont="1" applyBorder="1"/>
    <xf numFmtId="0" fontId="12" fillId="2" borderId="12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/>
    </xf>
    <xf numFmtId="0" fontId="11" fillId="0" borderId="33" xfId="0" applyFont="1" applyBorder="1"/>
    <xf numFmtId="0" fontId="11" fillId="0" borderId="34" xfId="0" applyFont="1" applyBorder="1"/>
    <xf numFmtId="0" fontId="27" fillId="2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" fontId="9" fillId="0" borderId="19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1" fillId="4" borderId="12" xfId="0" applyFont="1" applyFill="1" applyBorder="1"/>
    <xf numFmtId="0" fontId="12" fillId="5" borderId="10" xfId="0" applyFont="1" applyFill="1" applyBorder="1" applyAlignment="1">
      <alignment horizontal="center" vertical="center" wrapText="1"/>
    </xf>
    <xf numFmtId="0" fontId="11" fillId="5" borderId="12" xfId="0" applyFont="1" applyFill="1" applyBorder="1"/>
    <xf numFmtId="0" fontId="26" fillId="0" borderId="10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/>
    </xf>
    <xf numFmtId="0" fontId="11" fillId="0" borderId="49" xfId="0" applyFont="1" applyBorder="1"/>
    <xf numFmtId="0" fontId="11" fillId="0" borderId="53" xfId="0" applyFont="1" applyBorder="1"/>
    <xf numFmtId="0" fontId="9" fillId="0" borderId="5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45" xfId="0" applyFont="1" applyBorder="1"/>
    <xf numFmtId="0" fontId="11" fillId="0" borderId="0" xfId="0" applyFont="1"/>
    <xf numFmtId="0" fontId="11" fillId="0" borderId="47" xfId="0" applyFont="1" applyBorder="1"/>
    <xf numFmtId="0" fontId="11" fillId="0" borderId="48" xfId="0" applyFont="1" applyBorder="1"/>
    <xf numFmtId="0" fontId="9" fillId="0" borderId="56" xfId="0" applyFont="1" applyBorder="1" applyAlignment="1">
      <alignment horizontal="center" vertical="center" wrapText="1"/>
    </xf>
    <xf numFmtId="0" fontId="11" fillId="0" borderId="57" xfId="0" applyFont="1" applyBorder="1"/>
    <xf numFmtId="0" fontId="11" fillId="0" borderId="58" xfId="0" applyFont="1" applyBorder="1"/>
    <xf numFmtId="0" fontId="17" fillId="0" borderId="56" xfId="0" applyFont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1" fillId="0" borderId="41" xfId="0" applyFont="1" applyBorder="1"/>
    <xf numFmtId="0" fontId="11" fillId="0" borderId="51" xfId="0" applyFont="1" applyBorder="1"/>
    <xf numFmtId="0" fontId="12" fillId="0" borderId="42" xfId="0" applyFont="1" applyBorder="1" applyAlignment="1">
      <alignment horizontal="center" vertical="center" wrapText="1"/>
    </xf>
    <xf numFmtId="0" fontId="11" fillId="0" borderId="43" xfId="0" applyFont="1" applyBorder="1"/>
    <xf numFmtId="49" fontId="12" fillId="0" borderId="40" xfId="0" applyNumberFormat="1" applyFont="1" applyBorder="1" applyAlignment="1">
      <alignment horizontal="center" vertical="center" wrapText="1"/>
    </xf>
    <xf numFmtId="0" fontId="11" fillId="0" borderId="44" xfId="0" applyFont="1" applyBorder="1"/>
    <xf numFmtId="0" fontId="11" fillId="0" borderId="46" xfId="0" applyFont="1" applyBorder="1"/>
    <xf numFmtId="0" fontId="12" fillId="0" borderId="40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 wrapText="1"/>
    </xf>
    <xf numFmtId="0" fontId="0" fillId="0" borderId="55" xfId="0" applyBorder="1"/>
    <xf numFmtId="0" fontId="35" fillId="2" borderId="12" xfId="0" applyFont="1" applyFill="1" applyBorder="1"/>
    <xf numFmtId="0" fontId="15" fillId="0" borderId="10" xfId="0" applyFont="1" applyBorder="1" applyAlignment="1">
      <alignment horizontal="center" vertical="center" wrapText="1"/>
    </xf>
    <xf numFmtId="0" fontId="35" fillId="0" borderId="12" xfId="0" applyFont="1" applyBorder="1"/>
    <xf numFmtId="0" fontId="15" fillId="2" borderId="10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1" fillId="0" borderId="55" xfId="0" applyFont="1" applyBorder="1"/>
    <xf numFmtId="0" fontId="18" fillId="0" borderId="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65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7" Type="http://customschemas.google.com/relationships/workbookmetadata" Target="metadata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9879010-7334-4E41-B429-74A1079F3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DB5DC9E-4CAC-49C3-B68C-980D1BF07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0A17E1-DB7C-44EF-B762-8E788BC8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7C55F0-FCBF-49EA-B9AC-AD1470B4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66A1F-0611-420E-8C1F-ACDDB81D5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E1386E-AB7B-445C-A898-10732117B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A086FA-63CD-4FA6-B5A4-A62DDA97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82A990-9F12-4714-B81E-15AE35053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2DA68C-6B47-42D3-94A9-3762CEE8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DD6485-E517-4CBD-8668-1CAAD8B0F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1F8BF-7B7C-4449-BD56-396DA4AD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8F4F0-12FA-4316-8C20-E1B675DFA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D146D-D76E-40F7-9194-49831B1AA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F81152-B4B9-44EA-A89D-29A4DC942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A56D6-5625-4573-86EF-321D67ACD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C7F62B-9C71-4F8C-8EEA-C1F4BCB7B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0E980E-861A-443C-9BD5-9679C3296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946BDE-504D-4158-89A0-9E1120F81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DA5B5E-D9CC-4E15-91DE-44B145BF4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8C43D2-B8CE-4D3F-80D9-705D275C8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2DA3F3-5158-42A9-8FC3-7442A8645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FD1172-F37E-4C07-A5AB-3B07B7D4A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B2406-FD2E-467D-8D9F-3E30FE2DC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8AF1E3-480F-4B75-94A2-1F6B5F56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E7A186-18B3-41E6-B198-56E19B14B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D7E7FE-67C3-418E-836C-06887D0CA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85DC16-81EF-42E7-B965-67034A22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21EECF-EC4A-4BB0-88D9-E4C78D91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921210-3DCD-4070-944A-9DC79096E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1B3377-9EE0-4A1C-9F50-AB4CAB79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E92D5B-6A27-4A6F-BC7D-450B9FA4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526396</xdr:colOff>
      <xdr:row>6</xdr:row>
      <xdr:rowOff>250415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B6D11D-1495-4878-BD7F-B4AAB25FB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6000"/>
          <a:ext cx="1389996" cy="80921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4</xdr:row>
      <xdr:rowOff>0</xdr:rowOff>
    </xdr:from>
    <xdr:ext cx="3076575" cy="8953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I2" sqref="I2"/>
    </sheetView>
  </sheetViews>
  <sheetFormatPr baseColWidth="10" defaultRowHeight="14.4" x14ac:dyDescent="0.3"/>
  <sheetData>
    <row r="1" spans="1:2" x14ac:dyDescent="0.3">
      <c r="A1" t="s">
        <v>524</v>
      </c>
      <c r="B1" t="s">
        <v>525</v>
      </c>
    </row>
    <row r="2" spans="1:2" ht="172.8" x14ac:dyDescent="0.3">
      <c r="A2" t="s">
        <v>3</v>
      </c>
      <c r="B2" s="55" t="s">
        <v>526</v>
      </c>
    </row>
    <row r="3" spans="1:2" ht="244.8" x14ac:dyDescent="0.3">
      <c r="A3" t="s">
        <v>44</v>
      </c>
      <c r="B3" s="55" t="s">
        <v>527</v>
      </c>
    </row>
    <row r="4" spans="1:2" ht="72" x14ac:dyDescent="0.3">
      <c r="A4" t="s">
        <v>49</v>
      </c>
      <c r="B4" s="55" t="s">
        <v>528</v>
      </c>
    </row>
    <row r="5" spans="1:2" x14ac:dyDescent="0.3">
      <c r="A5" t="s">
        <v>510</v>
      </c>
    </row>
    <row r="6" spans="1:2" ht="129.6" x14ac:dyDescent="0.3">
      <c r="A6" t="s">
        <v>52</v>
      </c>
      <c r="B6" s="55" t="s">
        <v>529</v>
      </c>
    </row>
    <row r="7" spans="1:2" ht="187.2" x14ac:dyDescent="0.3">
      <c r="A7" t="s">
        <v>54</v>
      </c>
      <c r="B7" s="55" t="s">
        <v>530</v>
      </c>
    </row>
    <row r="8" spans="1:2" ht="273.60000000000002" x14ac:dyDescent="0.3">
      <c r="A8" t="s">
        <v>57</v>
      </c>
      <c r="B8" s="55" t="s">
        <v>531</v>
      </c>
    </row>
    <row r="9" spans="1:2" ht="230.4" x14ac:dyDescent="0.3">
      <c r="A9" t="s">
        <v>62</v>
      </c>
      <c r="B9" s="55" t="s">
        <v>532</v>
      </c>
    </row>
    <row r="10" spans="1:2" ht="273.60000000000002" x14ac:dyDescent="0.3">
      <c r="A10" t="s">
        <v>64</v>
      </c>
      <c r="B10" s="55" t="s">
        <v>533</v>
      </c>
    </row>
    <row r="11" spans="1:2" ht="216" x14ac:dyDescent="0.3">
      <c r="A11" t="s">
        <v>66</v>
      </c>
      <c r="B11" s="55" t="s">
        <v>534</v>
      </c>
    </row>
    <row r="12" spans="1:2" ht="409.6" x14ac:dyDescent="0.3">
      <c r="A12" t="s">
        <v>69</v>
      </c>
      <c r="B12" s="55" t="s">
        <v>535</v>
      </c>
    </row>
    <row r="13" spans="1:2" ht="144" x14ac:dyDescent="0.3">
      <c r="A13" t="s">
        <v>73</v>
      </c>
      <c r="B13" s="55" t="s">
        <v>536</v>
      </c>
    </row>
    <row r="14" spans="1:2" ht="288" x14ac:dyDescent="0.3">
      <c r="A14" t="s">
        <v>76</v>
      </c>
      <c r="B14" s="55" t="s">
        <v>537</v>
      </c>
    </row>
    <row r="15" spans="1:2" ht="187.2" x14ac:dyDescent="0.3">
      <c r="A15" t="s">
        <v>81</v>
      </c>
      <c r="B15" s="55" t="s">
        <v>538</v>
      </c>
    </row>
    <row r="16" spans="1:2" ht="144" x14ac:dyDescent="0.3">
      <c r="A16" t="s">
        <v>84</v>
      </c>
      <c r="B16" s="55" t="s">
        <v>539</v>
      </c>
    </row>
    <row r="17" spans="1:2" ht="216" x14ac:dyDescent="0.3">
      <c r="A17" t="s">
        <v>86</v>
      </c>
      <c r="B17" s="55" t="s">
        <v>540</v>
      </c>
    </row>
    <row r="18" spans="1:2" ht="187.2" x14ac:dyDescent="0.3">
      <c r="A18" t="s">
        <v>91</v>
      </c>
      <c r="B18" s="55" t="s">
        <v>541</v>
      </c>
    </row>
    <row r="19" spans="1:2" ht="409.6" x14ac:dyDescent="0.3">
      <c r="A19" t="s">
        <v>93</v>
      </c>
      <c r="B19" s="55" t="s">
        <v>542</v>
      </c>
    </row>
    <row r="20" spans="1:2" ht="288" x14ac:dyDescent="0.3">
      <c r="A20" t="s">
        <v>96</v>
      </c>
      <c r="B20" s="55" t="s">
        <v>543</v>
      </c>
    </row>
    <row r="21" spans="1:2" ht="244.8" x14ac:dyDescent="0.3">
      <c r="A21" t="s">
        <v>100</v>
      </c>
      <c r="B21" s="55" t="s">
        <v>544</v>
      </c>
    </row>
    <row r="22" spans="1:2" ht="409.6" x14ac:dyDescent="0.3">
      <c r="A22" t="s">
        <v>105</v>
      </c>
      <c r="B22" s="55" t="s">
        <v>545</v>
      </c>
    </row>
    <row r="23" spans="1:2" ht="158.4" x14ac:dyDescent="0.3">
      <c r="A23" t="s">
        <v>109</v>
      </c>
      <c r="B23" s="55" t="s">
        <v>546</v>
      </c>
    </row>
    <row r="24" spans="1:2" ht="230.4" x14ac:dyDescent="0.3">
      <c r="A24" t="s">
        <v>112</v>
      </c>
      <c r="B24" s="55" t="s">
        <v>547</v>
      </c>
    </row>
    <row r="25" spans="1:2" ht="388.8" x14ac:dyDescent="0.3">
      <c r="A25" t="s">
        <v>114</v>
      </c>
      <c r="B25" s="55" t="s">
        <v>548</v>
      </c>
    </row>
    <row r="26" spans="1:2" ht="100.8" x14ac:dyDescent="0.3">
      <c r="A26" t="s">
        <v>116</v>
      </c>
      <c r="B26" s="55" t="s">
        <v>549</v>
      </c>
    </row>
    <row r="27" spans="1:2" ht="244.8" x14ac:dyDescent="0.3">
      <c r="A27" t="s">
        <v>117</v>
      </c>
      <c r="B27" s="55" t="s">
        <v>550</v>
      </c>
    </row>
    <row r="28" spans="1:2" ht="288" x14ac:dyDescent="0.3">
      <c r="A28" t="s">
        <v>119</v>
      </c>
      <c r="B28" s="55" t="s">
        <v>551</v>
      </c>
    </row>
    <row r="29" spans="1:2" ht="129.6" x14ac:dyDescent="0.3">
      <c r="A29" t="s">
        <v>121</v>
      </c>
      <c r="B29" s="55" t="s">
        <v>552</v>
      </c>
    </row>
    <row r="30" spans="1:2" ht="187.2" x14ac:dyDescent="0.3">
      <c r="A30" t="s">
        <v>123</v>
      </c>
      <c r="B30" s="55" t="s">
        <v>553</v>
      </c>
    </row>
    <row r="31" spans="1:2" ht="129.6" x14ac:dyDescent="0.3">
      <c r="A31" t="s">
        <v>124</v>
      </c>
      <c r="B31" s="55" t="s">
        <v>554</v>
      </c>
    </row>
    <row r="32" spans="1:2" ht="201.6" x14ac:dyDescent="0.3">
      <c r="A32" t="s">
        <v>128</v>
      </c>
      <c r="B32" s="55" t="s">
        <v>555</v>
      </c>
    </row>
    <row r="33" spans="1:2" ht="129.6" x14ac:dyDescent="0.3">
      <c r="A33" t="s">
        <v>131</v>
      </c>
      <c r="B33" s="55" t="s">
        <v>556</v>
      </c>
    </row>
    <row r="34" spans="1:2" ht="230.4" x14ac:dyDescent="0.3">
      <c r="A34" t="s">
        <v>134</v>
      </c>
      <c r="B34" s="55" t="s">
        <v>557</v>
      </c>
    </row>
    <row r="35" spans="1:2" ht="360" x14ac:dyDescent="0.3">
      <c r="A35" t="s">
        <v>135</v>
      </c>
      <c r="B35" s="55" t="s">
        <v>558</v>
      </c>
    </row>
    <row r="36" spans="1:2" x14ac:dyDescent="0.3">
      <c r="A36" t="s">
        <v>17</v>
      </c>
    </row>
    <row r="37" spans="1:2" x14ac:dyDescent="0.3">
      <c r="A37" t="s">
        <v>57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C00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3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6"/>
      <c r="M27" s="67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6"/>
      <c r="M28" s="67"/>
      <c r="N28" s="68"/>
      <c r="O28" s="63"/>
      <c r="P28" s="68"/>
      <c r="Q28" s="63"/>
      <c r="R28" s="64"/>
      <c r="S28" s="65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6"/>
      <c r="M29" s="67"/>
      <c r="N29" s="68"/>
      <c r="O29" s="63"/>
      <c r="P29" s="68"/>
      <c r="Q29" s="63"/>
      <c r="R29" s="64"/>
      <c r="S29" s="65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4"/>
      <c r="S30" s="65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4"/>
      <c r="S31" s="65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9"/>
      <c r="S32" s="67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9"/>
      <c r="S33" s="67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6"/>
      <c r="I36" s="67"/>
      <c r="J36" s="64"/>
      <c r="K36" s="65"/>
      <c r="L36" s="66"/>
      <c r="M36" s="67"/>
      <c r="N36" s="69"/>
      <c r="O36" s="67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6"/>
      <c r="I37" s="67"/>
      <c r="J37" s="64"/>
      <c r="K37" s="65"/>
      <c r="L37" s="66"/>
      <c r="M37" s="67"/>
      <c r="N37" s="69"/>
      <c r="O37" s="67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6"/>
      <c r="I38" s="67"/>
      <c r="J38" s="66"/>
      <c r="K38" s="67"/>
      <c r="L38" s="66"/>
      <c r="M38" s="67"/>
      <c r="N38" s="66"/>
      <c r="O38" s="67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6"/>
      <c r="I39" s="67"/>
      <c r="J39" s="66"/>
      <c r="K39" s="67"/>
      <c r="L39" s="66"/>
      <c r="M39" s="67"/>
      <c r="N39" s="64"/>
      <c r="O39" s="65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6"/>
      <c r="K40" s="67"/>
      <c r="L40" s="64"/>
      <c r="M40" s="65"/>
      <c r="N40" s="64"/>
      <c r="O40" s="65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4"/>
      <c r="K41" s="65"/>
      <c r="L41" s="64"/>
      <c r="M41" s="65"/>
      <c r="N41" s="64"/>
      <c r="O41" s="65"/>
      <c r="P41" s="64"/>
      <c r="Q41" s="65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ALFARO LINARES SANDRA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64" priority="1" operator="equal">
      <formula>0</formula>
    </cfRule>
  </conditionalFormatting>
  <conditionalFormatting sqref="N15:N23">
    <cfRule type="cellIs" dxfId="63" priority="2" operator="equal">
      <formula>0</formula>
    </cfRule>
  </conditionalFormatting>
  <dataValidations count="1">
    <dataValidation type="list" allowBlank="1" sqref="H27:H41 J27:J41 L27:L41 N27:N41 P27:P41 R27:R41" xr:uid="{00000000-0002-0000-01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1000000}">
          <x14:formula1>
            <xm:f>z_2_Maestros!$B$2:$B$304</xm:f>
          </x14:formula1>
          <xm:sqref>B10</xm:sqref>
        </x14:dataValidation>
        <x14:dataValidation type="list" allowBlank="1" xr:uid="{00000000-0002-0000-01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44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5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v>5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4"/>
      <c r="I27" s="65"/>
      <c r="J27" s="64"/>
      <c r="K27" s="65"/>
      <c r="L27" s="64"/>
      <c r="M27" s="65"/>
      <c r="N27" s="64"/>
      <c r="O27" s="65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122"/>
      <c r="M33" s="65"/>
      <c r="N33" s="64"/>
      <c r="O33" s="65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BAEZA FLORES MARIA DEL CARMEN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N30:O30"/>
    <mergeCell ref="P30:Q30"/>
    <mergeCell ref="R30:S30"/>
    <mergeCell ref="N31:O31"/>
    <mergeCell ref="P31:Q31"/>
    <mergeCell ref="R31:S31"/>
    <mergeCell ref="P32:Q32"/>
    <mergeCell ref="R32:S32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J33:K33"/>
    <mergeCell ref="J34:K34"/>
    <mergeCell ref="N21:Q21"/>
    <mergeCell ref="N22:Q22"/>
    <mergeCell ref="R15:S23"/>
    <mergeCell ref="N23:Q23"/>
    <mergeCell ref="N26:O26"/>
    <mergeCell ref="P26:Q26"/>
    <mergeCell ref="R26:S26"/>
    <mergeCell ref="N32:O32"/>
    <mergeCell ref="N33:O33"/>
    <mergeCell ref="H23:K23"/>
    <mergeCell ref="P29:Q29"/>
    <mergeCell ref="R29:S29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L33:M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62" priority="1" operator="equal">
      <formula>0</formula>
    </cfRule>
  </conditionalFormatting>
  <conditionalFormatting sqref="N15:N23">
    <cfRule type="cellIs" dxfId="61" priority="2" operator="equal">
      <formula>0</formula>
    </cfRule>
  </conditionalFormatting>
  <dataValidations count="1">
    <dataValidation type="list" allowBlank="1" sqref="H27:H41 N27:N41 J27:J41 R27:R41 P27:P41 L27:L41" xr:uid="{00000000-0002-0000-02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1000000}">
          <x14:formula1>
            <xm:f>z_2_Maestros!$B$2:$B$304</xm:f>
          </x14:formula1>
          <xm:sqref>B10</xm:sqref>
        </x14:dataValidation>
        <x14:dataValidation type="list" allowBlank="1" xr:uid="{00000000-0002-0000-02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7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thickBot="1" x14ac:dyDescent="0.35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thickBot="1" x14ac:dyDescent="0.35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thickBot="1" x14ac:dyDescent="0.35">
      <c r="B10" s="111" t="s">
        <v>510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thickBot="1" x14ac:dyDescent="0.45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thickBot="1" x14ac:dyDescent="0.35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578</v>
      </c>
      <c r="I15" s="124"/>
      <c r="J15" s="124"/>
      <c r="K15" s="125"/>
      <c r="L15" s="11" t="str">
        <f t="array" ref="L15">INDEX(z_3_Materias!B2:B508, MATCH(H15, z_3_Materias!A2:A508, 0))</f>
        <v>24CD020</v>
      </c>
      <c r="M15" s="12" t="s">
        <v>614</v>
      </c>
      <c r="N15" s="109">
        <f t="array" ref="N15">INDEX(z_3_Materias!D2:D508, MATCH(H15, z_3_Materias!A2:A508, 0))</f>
        <v>6</v>
      </c>
      <c r="O15" s="84"/>
      <c r="P15" s="84"/>
      <c r="Q15" s="108"/>
      <c r="R15" s="90">
        <f>SUM(N15:Q23)</f>
        <v>6</v>
      </c>
      <c r="S15" s="91"/>
      <c r="T15" s="13" t="str">
        <f t="shared" ref="T15:T23" si="0">H15&amp;" "&amp;M15</f>
        <v>Modelos Estadísticos* CD301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thickBot="1" x14ac:dyDescent="0.35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thickBot="1" x14ac:dyDescent="0.45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thickBot="1" x14ac:dyDescent="0.35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thickBot="1" x14ac:dyDescent="0.35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thickBot="1" x14ac:dyDescent="0.35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thickBot="1" x14ac:dyDescent="0.35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thickBot="1" x14ac:dyDescent="0.35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68"/>
      <c r="Q30" s="63"/>
      <c r="R30" s="68"/>
      <c r="S30" s="63"/>
    </row>
    <row r="31" spans="2:20" ht="73.5" customHeight="1" thickBot="1" x14ac:dyDescent="0.35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thickBot="1" x14ac:dyDescent="0.35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thickBot="1" x14ac:dyDescent="0.35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thickBot="1" x14ac:dyDescent="0.35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thickBot="1" x14ac:dyDescent="0.35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thickBot="1" x14ac:dyDescent="0.35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thickBot="1" x14ac:dyDescent="0.35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thickBot="1" x14ac:dyDescent="0.35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thickBot="1" x14ac:dyDescent="0.35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thickBot="1" x14ac:dyDescent="0.35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thickBot="1" x14ac:dyDescent="0.35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CRUZ GARCIA MISAEL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C50:I50"/>
    <mergeCell ref="C51:I51"/>
    <mergeCell ref="L42:M42"/>
    <mergeCell ref="C44:H44"/>
    <mergeCell ref="N44:R44"/>
    <mergeCell ref="C46:I46"/>
    <mergeCell ref="N46:R46"/>
    <mergeCell ref="C47:I47"/>
    <mergeCell ref="N47:R48"/>
    <mergeCell ref="C48:H48"/>
    <mergeCell ref="R40:S40"/>
    <mergeCell ref="B41:G41"/>
    <mergeCell ref="H41:I41"/>
    <mergeCell ref="J41:K41"/>
    <mergeCell ref="L41:M41"/>
    <mergeCell ref="N41:O41"/>
    <mergeCell ref="P41:Q41"/>
    <mergeCell ref="R41:S41"/>
    <mergeCell ref="B40:G40"/>
    <mergeCell ref="H40:I40"/>
    <mergeCell ref="J40:K40"/>
    <mergeCell ref="L40:M40"/>
    <mergeCell ref="N40:O40"/>
    <mergeCell ref="P40:Q40"/>
    <mergeCell ref="R38:S38"/>
    <mergeCell ref="B39:G39"/>
    <mergeCell ref="H39:I39"/>
    <mergeCell ref="J39:K39"/>
    <mergeCell ref="L39:M39"/>
    <mergeCell ref="N39:O39"/>
    <mergeCell ref="P39:Q39"/>
    <mergeCell ref="R39:S39"/>
    <mergeCell ref="B38:G38"/>
    <mergeCell ref="H38:I38"/>
    <mergeCell ref="J38:K38"/>
    <mergeCell ref="L38:M38"/>
    <mergeCell ref="N38:O38"/>
    <mergeCell ref="P38:Q38"/>
    <mergeCell ref="R36:S36"/>
    <mergeCell ref="B37:G37"/>
    <mergeCell ref="H37:I37"/>
    <mergeCell ref="J37:K37"/>
    <mergeCell ref="L37:M37"/>
    <mergeCell ref="N37:O37"/>
    <mergeCell ref="P37:Q37"/>
    <mergeCell ref="R37:S37"/>
    <mergeCell ref="B36:G36"/>
    <mergeCell ref="H36:I36"/>
    <mergeCell ref="J36:K36"/>
    <mergeCell ref="L36:M36"/>
    <mergeCell ref="N36:O36"/>
    <mergeCell ref="P36:Q36"/>
    <mergeCell ref="R34:S34"/>
    <mergeCell ref="B35:G35"/>
    <mergeCell ref="H35:I35"/>
    <mergeCell ref="J35:K35"/>
    <mergeCell ref="L35:M35"/>
    <mergeCell ref="N35:O35"/>
    <mergeCell ref="P35:Q35"/>
    <mergeCell ref="R35:S35"/>
    <mergeCell ref="B34:G34"/>
    <mergeCell ref="H34:I34"/>
    <mergeCell ref="J34:K34"/>
    <mergeCell ref="L34:M34"/>
    <mergeCell ref="N34:O34"/>
    <mergeCell ref="P34:Q34"/>
    <mergeCell ref="R32:S32"/>
    <mergeCell ref="B33:G33"/>
    <mergeCell ref="H33:I33"/>
    <mergeCell ref="J33:K33"/>
    <mergeCell ref="L33:M33"/>
    <mergeCell ref="N33:O33"/>
    <mergeCell ref="P33:Q33"/>
    <mergeCell ref="R33:S33"/>
    <mergeCell ref="B32:G32"/>
    <mergeCell ref="H32:I32"/>
    <mergeCell ref="J32:K32"/>
    <mergeCell ref="L32:M32"/>
    <mergeCell ref="N32:O32"/>
    <mergeCell ref="P32:Q32"/>
    <mergeCell ref="R30:S30"/>
    <mergeCell ref="B31:G31"/>
    <mergeCell ref="H31:I31"/>
    <mergeCell ref="J31:K31"/>
    <mergeCell ref="L31:M31"/>
    <mergeCell ref="N31:O31"/>
    <mergeCell ref="P31:Q31"/>
    <mergeCell ref="R31:S31"/>
    <mergeCell ref="B30:G30"/>
    <mergeCell ref="H30:I30"/>
    <mergeCell ref="J30:K30"/>
    <mergeCell ref="L30:M30"/>
    <mergeCell ref="N30:O30"/>
    <mergeCell ref="P30:Q30"/>
    <mergeCell ref="R28:S28"/>
    <mergeCell ref="B29:G29"/>
    <mergeCell ref="H29:I29"/>
    <mergeCell ref="J29:K29"/>
    <mergeCell ref="L29:M29"/>
    <mergeCell ref="N29:O29"/>
    <mergeCell ref="P29:Q29"/>
    <mergeCell ref="R29:S29"/>
    <mergeCell ref="B28:G28"/>
    <mergeCell ref="H28:I28"/>
    <mergeCell ref="J28:K28"/>
    <mergeCell ref="L28:M28"/>
    <mergeCell ref="N28:O28"/>
    <mergeCell ref="P28:Q28"/>
    <mergeCell ref="R26:S26"/>
    <mergeCell ref="B27:G27"/>
    <mergeCell ref="H27:I27"/>
    <mergeCell ref="J27:K27"/>
    <mergeCell ref="L27:M27"/>
    <mergeCell ref="N27:O27"/>
    <mergeCell ref="P27:Q27"/>
    <mergeCell ref="R27:S27"/>
    <mergeCell ref="H23:K23"/>
    <mergeCell ref="N23:Q23"/>
    <mergeCell ref="B25:G25"/>
    <mergeCell ref="L25:M25"/>
    <mergeCell ref="B26:G26"/>
    <mergeCell ref="H26:I26"/>
    <mergeCell ref="J26:K26"/>
    <mergeCell ref="L26:M26"/>
    <mergeCell ref="N26:O26"/>
    <mergeCell ref="P26:Q26"/>
    <mergeCell ref="B13:S13"/>
    <mergeCell ref="B14:C23"/>
    <mergeCell ref="D14:G23"/>
    <mergeCell ref="H14:K14"/>
    <mergeCell ref="N14:Q14"/>
    <mergeCell ref="R14:S14"/>
    <mergeCell ref="H15:K15"/>
    <mergeCell ref="N15:Q15"/>
    <mergeCell ref="R15:S23"/>
    <mergeCell ref="H16:K16"/>
    <mergeCell ref="H20:K20"/>
    <mergeCell ref="N20:Q20"/>
    <mergeCell ref="H21:K21"/>
    <mergeCell ref="N21:Q21"/>
    <mergeCell ref="H22:K22"/>
    <mergeCell ref="N22:Q22"/>
    <mergeCell ref="N16:Q16"/>
    <mergeCell ref="H17:K17"/>
    <mergeCell ref="N17:Q17"/>
    <mergeCell ref="H18:K18"/>
    <mergeCell ref="N18:Q18"/>
    <mergeCell ref="H19:K19"/>
    <mergeCell ref="N19:Q19"/>
    <mergeCell ref="B8:K8"/>
    <mergeCell ref="M8:S8"/>
    <mergeCell ref="B10:K10"/>
    <mergeCell ref="N10:S10"/>
    <mergeCell ref="B11:K11"/>
    <mergeCell ref="N11:S11"/>
    <mergeCell ref="B1:S1"/>
    <mergeCell ref="B2:S2"/>
    <mergeCell ref="B3:S3"/>
    <mergeCell ref="B4:S4"/>
    <mergeCell ref="B5:H7"/>
    <mergeCell ref="I5:S5"/>
    <mergeCell ref="I6:S6"/>
    <mergeCell ref="I7:S7"/>
  </mergeCells>
  <conditionalFormatting sqref="L15:L23">
    <cfRule type="cellIs" dxfId="60" priority="2" operator="equal">
      <formula>0</formula>
    </cfRule>
  </conditionalFormatting>
  <conditionalFormatting sqref="N15:N23">
    <cfRule type="cellIs" dxfId="59" priority="1" operator="equal">
      <formula>0</formula>
    </cfRule>
  </conditionalFormatting>
  <dataValidations count="1">
    <dataValidation type="list" allowBlank="1" sqref="R27:R41 H27:H41 J27:J41 L27:L41 N27:N41 P27:P41" xr:uid="{00000000-0002-0000-03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1000000}">
          <x14:formula1>
            <xm:f>z_2_Maestros!$B$2:$B$304</xm:f>
          </x14:formula1>
          <xm:sqref>B10</xm:sqref>
        </x14:dataValidation>
        <x14:dataValidation type="list" allowBlank="1" xr:uid="{00000000-0002-0000-03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52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4"/>
      <c r="Q41" s="65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GARCIA TRINIDAD ENRIQUE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58" priority="1" operator="equal">
      <formula>0</formula>
    </cfRule>
  </conditionalFormatting>
  <conditionalFormatting sqref="N15:N23">
    <cfRule type="cellIs" dxfId="57" priority="2" operator="equal">
      <formula>0</formula>
    </cfRule>
  </conditionalFormatting>
  <dataValidations count="1">
    <dataValidation type="list" allowBlank="1" sqref="H27:H41 J27:J41 L27:L41 N27:N41 P27:P41 R27:R41" xr:uid="{00000000-0002-0000-04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1000000}">
          <x14:formula1>
            <xm:f>z_2_Maestros!$B$2:$B$304</xm:f>
          </x14:formula1>
          <xm:sqref>B10</xm:sqref>
        </x14:dataValidation>
        <x14:dataValidation type="list" allowBlank="1" xr:uid="{00000000-0002-0000-04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tabColor rgb="FF92D050"/>
    <pageSetUpPr fitToPage="1"/>
  </sheetPr>
  <dimension ref="B1:T51"/>
  <sheetViews>
    <sheetView view="pageBreakPreview" topLeftCell="A18" zoomScale="60" zoomScaleNormal="10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54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2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127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126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126"/>
      <c r="P32" s="64"/>
      <c r="Q32" s="126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126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126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GOMEZ GONZALEZ JORGE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R29:S29"/>
    <mergeCell ref="N30:O30"/>
    <mergeCell ref="P30:Q30"/>
    <mergeCell ref="R30:S30"/>
    <mergeCell ref="N31:O31"/>
    <mergeCell ref="P31:Q31"/>
    <mergeCell ref="R31:S31"/>
    <mergeCell ref="N32:O32"/>
    <mergeCell ref="P32:Q32"/>
    <mergeCell ref="R32:S32"/>
    <mergeCell ref="L33:M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H37:I37"/>
    <mergeCell ref="H38:I38"/>
    <mergeCell ref="N21:Q21"/>
    <mergeCell ref="N22:Q22"/>
    <mergeCell ref="R15:S23"/>
    <mergeCell ref="N23:Q23"/>
    <mergeCell ref="N26:O26"/>
    <mergeCell ref="P26:Q26"/>
    <mergeCell ref="R26:S26"/>
    <mergeCell ref="N33:O33"/>
    <mergeCell ref="N34:O34"/>
    <mergeCell ref="N35:O35"/>
    <mergeCell ref="H23:K23"/>
    <mergeCell ref="P29:Q29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P34:Q34"/>
    <mergeCell ref="R34:S34"/>
    <mergeCell ref="B35:G35"/>
    <mergeCell ref="H35:I35"/>
    <mergeCell ref="J35:K35"/>
    <mergeCell ref="L35:M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56" priority="1" operator="equal">
      <formula>0</formula>
    </cfRule>
  </conditionalFormatting>
  <conditionalFormatting sqref="N15:N23">
    <cfRule type="cellIs" dxfId="55" priority="2" operator="equal">
      <formula>0</formula>
    </cfRule>
  </conditionalFormatting>
  <dataValidations count="1">
    <dataValidation type="list" allowBlank="1" sqref="H27:H41 J27:J41 R27:R41 L27:L41 P27:P41 N27:N41" xr:uid="{00000000-0002-0000-05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1000000}">
          <x14:formula1>
            <xm:f>z_2_Maestros!$B$2:$B$304</xm:f>
          </x14:formula1>
          <xm:sqref>B10</xm:sqref>
        </x14:dataValidation>
        <x14:dataValidation type="list" allowBlank="1" xr:uid="{00000000-0002-0000-05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57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17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8" t="s">
        <v>17</v>
      </c>
      <c r="I15" s="129"/>
      <c r="J15" s="129"/>
      <c r="K15" s="130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4"/>
      <c r="K41" s="65"/>
      <c r="L41" s="64"/>
      <c r="M41" s="65"/>
      <c r="N41" s="64"/>
      <c r="O41" s="65"/>
      <c r="P41" s="64"/>
      <c r="Q41" s="65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GONZALEZ GARCIA VERONICA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N17:Q17"/>
    <mergeCell ref="N18:Q18"/>
    <mergeCell ref="H19:K19"/>
    <mergeCell ref="H20:K20"/>
    <mergeCell ref="N19:Q19"/>
    <mergeCell ref="N20:Q20"/>
    <mergeCell ref="N44:R44"/>
    <mergeCell ref="N21:Q21"/>
    <mergeCell ref="N22:Q22"/>
    <mergeCell ref="R15:S23"/>
    <mergeCell ref="N23:Q23"/>
    <mergeCell ref="N26:O26"/>
    <mergeCell ref="P26:Q26"/>
    <mergeCell ref="R26:S26"/>
    <mergeCell ref="P29:Q29"/>
    <mergeCell ref="R29:S29"/>
    <mergeCell ref="N30:O30"/>
    <mergeCell ref="P30:Q30"/>
    <mergeCell ref="R30:S30"/>
    <mergeCell ref="H31:I31"/>
    <mergeCell ref="J31:K31"/>
    <mergeCell ref="L31:M31"/>
    <mergeCell ref="L40:M40"/>
    <mergeCell ref="H21:K21"/>
    <mergeCell ref="N46:R46"/>
    <mergeCell ref="H41:I41"/>
    <mergeCell ref="J41:K41"/>
    <mergeCell ref="L41:M41"/>
    <mergeCell ref="P41:Q41"/>
    <mergeCell ref="R41:S41"/>
    <mergeCell ref="L42:M42"/>
    <mergeCell ref="N41:O41"/>
    <mergeCell ref="N39:O39"/>
    <mergeCell ref="N40:O40"/>
    <mergeCell ref="J40:K40"/>
    <mergeCell ref="J39:K39"/>
    <mergeCell ref="C44:H44"/>
    <mergeCell ref="C46:I46"/>
    <mergeCell ref="B39:G39"/>
    <mergeCell ref="P39:Q39"/>
    <mergeCell ref="R39:S39"/>
    <mergeCell ref="B40:G40"/>
    <mergeCell ref="P40:Q40"/>
    <mergeCell ref="R40:S40"/>
    <mergeCell ref="B41:G41"/>
    <mergeCell ref="H39:I39"/>
    <mergeCell ref="H40:I40"/>
    <mergeCell ref="L39:M39"/>
    <mergeCell ref="B30:G30"/>
    <mergeCell ref="H30:I30"/>
    <mergeCell ref="J30:K30"/>
    <mergeCell ref="L30:M30"/>
    <mergeCell ref="B31:G31"/>
    <mergeCell ref="B33:G33"/>
    <mergeCell ref="H33:I33"/>
    <mergeCell ref="J33:K33"/>
    <mergeCell ref="H17:K17"/>
    <mergeCell ref="H18:K18"/>
    <mergeCell ref="L33:M33"/>
    <mergeCell ref="H22:K22"/>
    <mergeCell ref="B14:C23"/>
    <mergeCell ref="D14:G23"/>
    <mergeCell ref="H14:K14"/>
    <mergeCell ref="H23:K23"/>
    <mergeCell ref="B25:G25"/>
    <mergeCell ref="L25:M25"/>
    <mergeCell ref="B26:G26"/>
    <mergeCell ref="H26:I26"/>
    <mergeCell ref="J26:K26"/>
    <mergeCell ref="L26:M26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N31:O31"/>
    <mergeCell ref="P31:Q31"/>
    <mergeCell ref="R31:S31"/>
    <mergeCell ref="B32:G32"/>
    <mergeCell ref="H32:I32"/>
    <mergeCell ref="J32:K32"/>
    <mergeCell ref="L32:M32"/>
    <mergeCell ref="N32:O32"/>
    <mergeCell ref="P32:Q32"/>
    <mergeCell ref="R32:S32"/>
    <mergeCell ref="N33:O33"/>
    <mergeCell ref="P33:Q33"/>
    <mergeCell ref="R33:S33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N37:O37"/>
    <mergeCell ref="P37:Q37"/>
    <mergeCell ref="R37:S37"/>
    <mergeCell ref="B38:G38"/>
    <mergeCell ref="H38:I38"/>
    <mergeCell ref="J38:K38"/>
    <mergeCell ref="N38:O38"/>
    <mergeCell ref="P38:Q38"/>
    <mergeCell ref="R38:S38"/>
    <mergeCell ref="L37:M37"/>
    <mergeCell ref="L38:M38"/>
  </mergeCells>
  <conditionalFormatting sqref="L15:L23">
    <cfRule type="cellIs" dxfId="54" priority="1" operator="equal">
      <formula>0</formula>
    </cfRule>
  </conditionalFormatting>
  <conditionalFormatting sqref="N15:N23">
    <cfRule type="cellIs" dxfId="53" priority="2" operator="equal">
      <formula>0</formula>
    </cfRule>
  </conditionalFormatting>
  <dataValidations count="1">
    <dataValidation type="list" allowBlank="1" sqref="H27:H41 J27:J41 L27:L41 N27:N41 P27:P41 R27:R41" xr:uid="{00000000-0002-0000-06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1000000}">
          <x14:formula1>
            <xm:f>z_2_Maestros!$B$2:$B$304</xm:f>
          </x14:formula1>
          <xm:sqref>B10</xm:sqref>
        </x14:dataValidation>
        <x14:dataValidation type="list" allowBlank="1" xr:uid="{00000000-0002-0000-06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62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4"/>
      <c r="I27" s="65"/>
      <c r="J27" s="64"/>
      <c r="K27" s="65"/>
      <c r="L27" s="64"/>
      <c r="M27" s="65"/>
      <c r="N27" s="64"/>
      <c r="O27" s="65"/>
      <c r="P27" s="64"/>
      <c r="Q27" s="65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131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IBARRA VAZQUEZ JESSICA DANIELA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H21:K21"/>
    <mergeCell ref="H22:K22"/>
    <mergeCell ref="H35:I35"/>
    <mergeCell ref="N21:Q21"/>
    <mergeCell ref="N22:Q22"/>
    <mergeCell ref="R15:S23"/>
    <mergeCell ref="N23:Q23"/>
    <mergeCell ref="R27:S27"/>
    <mergeCell ref="N46:R46"/>
    <mergeCell ref="H41:I41"/>
    <mergeCell ref="J41:K41"/>
    <mergeCell ref="L41:M41"/>
    <mergeCell ref="N41:O41"/>
    <mergeCell ref="P41:Q41"/>
    <mergeCell ref="R41:S41"/>
    <mergeCell ref="L42:M42"/>
    <mergeCell ref="N26:O26"/>
    <mergeCell ref="P26:Q26"/>
    <mergeCell ref="R26:S26"/>
    <mergeCell ref="J27:K27"/>
    <mergeCell ref="J28:K28"/>
    <mergeCell ref="J29:K29"/>
    <mergeCell ref="L27:M27"/>
    <mergeCell ref="L28:M28"/>
    <mergeCell ref="L29:M29"/>
    <mergeCell ref="P27:Q27"/>
    <mergeCell ref="P28:Q28"/>
    <mergeCell ref="J33:K33"/>
    <mergeCell ref="J34:K34"/>
    <mergeCell ref="L34:M34"/>
    <mergeCell ref="L35:M35"/>
    <mergeCell ref="H34:I34"/>
    <mergeCell ref="B41:G41"/>
    <mergeCell ref="C44:H44"/>
    <mergeCell ref="C46:I46"/>
    <mergeCell ref="C47:I47"/>
    <mergeCell ref="N47:R48"/>
    <mergeCell ref="C48:H48"/>
    <mergeCell ref="C50:I50"/>
    <mergeCell ref="C51:I51"/>
    <mergeCell ref="H23:K23"/>
    <mergeCell ref="B25:G25"/>
    <mergeCell ref="L25:M25"/>
    <mergeCell ref="B26:G26"/>
    <mergeCell ref="H26:I26"/>
    <mergeCell ref="J26:K26"/>
    <mergeCell ref="L26:M26"/>
    <mergeCell ref="N31:O31"/>
    <mergeCell ref="N32:O32"/>
    <mergeCell ref="N34:O34"/>
    <mergeCell ref="P34:Q34"/>
    <mergeCell ref="P35:Q35"/>
    <mergeCell ref="N35:O35"/>
    <mergeCell ref="B27:G27"/>
    <mergeCell ref="H27:I27"/>
    <mergeCell ref="N27:O27"/>
    <mergeCell ref="B28:G28"/>
    <mergeCell ref="H28:I28"/>
    <mergeCell ref="N28:O28"/>
    <mergeCell ref="R28:S28"/>
    <mergeCell ref="B29:G29"/>
    <mergeCell ref="H29:I29"/>
    <mergeCell ref="N29:O29"/>
    <mergeCell ref="P29:Q29"/>
    <mergeCell ref="R29:S29"/>
    <mergeCell ref="B30:G30"/>
    <mergeCell ref="H30:I30"/>
    <mergeCell ref="J30:K30"/>
    <mergeCell ref="L30:M30"/>
    <mergeCell ref="N30:O30"/>
    <mergeCell ref="P30:Q30"/>
    <mergeCell ref="R30:S30"/>
    <mergeCell ref="B31:G31"/>
    <mergeCell ref="H31:I31"/>
    <mergeCell ref="J31:K31"/>
    <mergeCell ref="L31:M31"/>
    <mergeCell ref="P31:Q31"/>
    <mergeCell ref="R31:S31"/>
    <mergeCell ref="B32:G32"/>
    <mergeCell ref="H32:I32"/>
    <mergeCell ref="J32:K32"/>
    <mergeCell ref="L32:M32"/>
    <mergeCell ref="P32:Q32"/>
    <mergeCell ref="R32:S32"/>
    <mergeCell ref="B33:G33"/>
    <mergeCell ref="H33:I33"/>
    <mergeCell ref="L33:M33"/>
    <mergeCell ref="N33:O33"/>
    <mergeCell ref="P33:Q33"/>
    <mergeCell ref="R33:S33"/>
    <mergeCell ref="B34:G34"/>
    <mergeCell ref="R34:S34"/>
    <mergeCell ref="B35:G35"/>
    <mergeCell ref="J35:K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  <mergeCell ref="B40:G40"/>
    <mergeCell ref="H40:I40"/>
    <mergeCell ref="J40:K40"/>
    <mergeCell ref="L40:M40"/>
    <mergeCell ref="N40:O40"/>
    <mergeCell ref="P40:Q40"/>
    <mergeCell ref="R40:S40"/>
  </mergeCells>
  <conditionalFormatting sqref="L15:L23">
    <cfRule type="cellIs" dxfId="52" priority="1" operator="equal">
      <formula>0</formula>
    </cfRule>
  </conditionalFormatting>
  <conditionalFormatting sqref="N15:N23">
    <cfRule type="cellIs" dxfId="51" priority="2" operator="equal">
      <formula>0</formula>
    </cfRule>
  </conditionalFormatting>
  <dataValidations count="1">
    <dataValidation type="list" allowBlank="1" sqref="J27:J41 R27:R41 L27:L41 N27:N41 P27:P41 H27:H41" xr:uid="{00000000-0002-0000-07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1000000}">
          <x14:formula1>
            <xm:f>z_2_Maestros!$B$2:$B$304</xm:f>
          </x14:formula1>
          <xm:sqref>B10</xm:sqref>
        </x14:dataValidation>
        <x14:dataValidation type="list" allowBlank="1" xr:uid="{00000000-0002-0000-07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>
    <tabColor rgb="FFFFC00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64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/>
      <c r="M15" s="12"/>
      <c r="N15" s="109"/>
      <c r="O15" s="84"/>
      <c r="P15" s="84"/>
      <c r="Q15" s="108"/>
      <c r="R15" s="90"/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/>
      <c r="M16" s="15"/>
      <c r="N16" s="89"/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/>
      <c r="M17" s="15"/>
      <c r="N17" s="89"/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/>
      <c r="M18" s="15"/>
      <c r="N18" s="134"/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107" t="s">
        <v>17</v>
      </c>
      <c r="I19" s="84"/>
      <c r="J19" s="84"/>
      <c r="K19" s="108"/>
      <c r="L19" s="14">
        <f t="array" ref="L19">INDEX(z_3_Materias!B2:B508, MATCH(H19, z_3_Materias!A2:A508, 0))</f>
        <v>0</v>
      </c>
      <c r="M19" s="12"/>
      <c r="N19" s="89"/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thickBot="1" x14ac:dyDescent="0.35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thickBot="1" x14ac:dyDescent="0.35">
      <c r="B27" s="61" t="s">
        <v>26</v>
      </c>
      <c r="C27" s="62"/>
      <c r="D27" s="62"/>
      <c r="E27" s="62"/>
      <c r="F27" s="62"/>
      <c r="G27" s="63"/>
      <c r="H27" s="66"/>
      <c r="I27" s="67"/>
      <c r="J27" s="66"/>
      <c r="K27" s="132"/>
      <c r="L27" s="66"/>
      <c r="M27" s="67"/>
      <c r="N27" s="66"/>
      <c r="O27" s="132"/>
      <c r="P27" s="64"/>
      <c r="Q27" s="65"/>
      <c r="R27" s="68"/>
      <c r="S27" s="63"/>
    </row>
    <row r="28" spans="2:20" ht="73.5" customHeight="1" thickBot="1" x14ac:dyDescent="0.35">
      <c r="B28" s="61" t="s">
        <v>27</v>
      </c>
      <c r="C28" s="62"/>
      <c r="D28" s="62"/>
      <c r="E28" s="62"/>
      <c r="F28" s="62"/>
      <c r="G28" s="63"/>
      <c r="H28" s="66"/>
      <c r="I28" s="67"/>
      <c r="J28" s="66"/>
      <c r="K28" s="132"/>
      <c r="L28" s="64"/>
      <c r="M28" s="65"/>
      <c r="N28" s="66"/>
      <c r="O28" s="132"/>
      <c r="P28" s="64"/>
      <c r="Q28" s="65"/>
      <c r="R28" s="68"/>
      <c r="S28" s="63"/>
    </row>
    <row r="29" spans="2:20" ht="73.5" customHeight="1" thickBot="1" x14ac:dyDescent="0.35">
      <c r="B29" s="61" t="s">
        <v>28</v>
      </c>
      <c r="C29" s="62"/>
      <c r="D29" s="62"/>
      <c r="E29" s="62"/>
      <c r="F29" s="62"/>
      <c r="G29" s="63"/>
      <c r="H29" s="66"/>
      <c r="I29" s="67"/>
      <c r="J29" s="66"/>
      <c r="K29" s="67"/>
      <c r="L29" s="64"/>
      <c r="M29" s="65"/>
      <c r="N29" s="68"/>
      <c r="O29" s="63"/>
      <c r="P29" s="64"/>
      <c r="Q29" s="65"/>
      <c r="R29" s="68"/>
      <c r="S29" s="63"/>
    </row>
    <row r="30" spans="2:20" ht="73.5" customHeight="1" thickBot="1" x14ac:dyDescent="0.35">
      <c r="B30" s="61" t="s">
        <v>29</v>
      </c>
      <c r="C30" s="62"/>
      <c r="D30" s="62"/>
      <c r="E30" s="62"/>
      <c r="F30" s="62"/>
      <c r="G30" s="63"/>
      <c r="H30" s="64"/>
      <c r="I30" s="65"/>
      <c r="J30" s="68"/>
      <c r="K30" s="63"/>
      <c r="L30" s="64"/>
      <c r="M30" s="65"/>
      <c r="N30" s="68"/>
      <c r="O30" s="63"/>
      <c r="P30" s="133"/>
      <c r="Q30" s="67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6"/>
      <c r="Q31" s="67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thickBot="1" x14ac:dyDescent="0.35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thickBot="1" x14ac:dyDescent="0.35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thickBot="1" x14ac:dyDescent="0.35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4"/>
      <c r="Q38" s="65"/>
      <c r="R38" s="68"/>
      <c r="S38" s="63"/>
    </row>
    <row r="39" spans="2:19" ht="73.5" customHeight="1" thickBot="1" x14ac:dyDescent="0.35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4"/>
      <c r="Q39" s="65"/>
      <c r="R39" s="68"/>
      <c r="S39" s="63"/>
    </row>
    <row r="40" spans="2:19" ht="73.5" customHeight="1" thickBot="1" x14ac:dyDescent="0.35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4"/>
      <c r="Q40" s="65"/>
      <c r="R40" s="68"/>
      <c r="S40" s="63"/>
    </row>
    <row r="41" spans="2:19" ht="73.5" customHeight="1" thickBot="1" x14ac:dyDescent="0.35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4"/>
      <c r="Q41" s="65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83" t="s">
        <v>514</v>
      </c>
      <c r="D44" s="84"/>
      <c r="E44" s="84"/>
      <c r="F44" s="84"/>
      <c r="G44" s="84"/>
      <c r="H44" s="84"/>
      <c r="I44" s="84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0" t="s">
        <v>42</v>
      </c>
      <c r="D45" s="71"/>
      <c r="E45" s="71"/>
      <c r="F45" s="71"/>
      <c r="G45" s="71"/>
      <c r="H45" s="71"/>
      <c r="I45" s="71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J46" s="7"/>
      <c r="K46" s="7"/>
      <c r="L46" s="7"/>
      <c r="M46" s="7"/>
      <c r="N46" s="83" t="str">
        <f>B10</f>
        <v>INFANTE DE LA FUENTE JUAN GABRIEL</v>
      </c>
      <c r="O46" s="84"/>
      <c r="P46" s="84"/>
      <c r="Q46" s="84"/>
      <c r="R46" s="84"/>
      <c r="S46" s="25"/>
    </row>
    <row r="47" spans="2:19" ht="14.25" customHeight="1" x14ac:dyDescent="0.35">
      <c r="C47" s="83" t="s">
        <v>41</v>
      </c>
      <c r="D47" s="84"/>
      <c r="E47" s="84"/>
      <c r="F47" s="84"/>
      <c r="G47" s="84"/>
      <c r="H47" s="84"/>
      <c r="I47" s="84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0" t="s">
        <v>42</v>
      </c>
      <c r="D48" s="71"/>
      <c r="E48" s="71"/>
      <c r="F48" s="71"/>
      <c r="G48" s="71"/>
      <c r="H48" s="71"/>
      <c r="I48" s="71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C48:I48"/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L34:M34"/>
    <mergeCell ref="N34:O34"/>
    <mergeCell ref="P34:Q34"/>
    <mergeCell ref="R34:S34"/>
    <mergeCell ref="L39:M39"/>
    <mergeCell ref="N39:O39"/>
    <mergeCell ref="P39:Q39"/>
    <mergeCell ref="R39:S39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H21:K21"/>
    <mergeCell ref="H22:K22"/>
    <mergeCell ref="N21:Q21"/>
    <mergeCell ref="N22:Q22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31:O31"/>
    <mergeCell ref="C44:I44"/>
    <mergeCell ref="N46:R46"/>
    <mergeCell ref="H41:I41"/>
    <mergeCell ref="J41:K41"/>
    <mergeCell ref="L41:M41"/>
    <mergeCell ref="N41:O41"/>
    <mergeCell ref="P41:Q41"/>
    <mergeCell ref="R41:S41"/>
    <mergeCell ref="L42:M42"/>
    <mergeCell ref="N44:R44"/>
    <mergeCell ref="C45:I45"/>
    <mergeCell ref="B35:G35"/>
    <mergeCell ref="H35:I35"/>
    <mergeCell ref="J35:K35"/>
    <mergeCell ref="L35:M35"/>
    <mergeCell ref="N35:O35"/>
    <mergeCell ref="P35:Q35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B25:G25"/>
    <mergeCell ref="L25:M25"/>
    <mergeCell ref="B26:G26"/>
    <mergeCell ref="H26:I26"/>
    <mergeCell ref="J26:K26"/>
    <mergeCell ref="L26:M26"/>
    <mergeCell ref="B41:G41"/>
    <mergeCell ref="C47:I47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J34:K34"/>
    <mergeCell ref="N47:R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</mergeCells>
  <conditionalFormatting sqref="L15:L23">
    <cfRule type="cellIs" dxfId="50" priority="2" operator="equal">
      <formula>0</formula>
    </cfRule>
  </conditionalFormatting>
  <conditionalFormatting sqref="N15:N23">
    <cfRule type="cellIs" dxfId="49" priority="1" operator="equal">
      <formula>0</formula>
    </cfRule>
  </conditionalFormatting>
  <dataValidations count="1">
    <dataValidation type="list" allowBlank="1" sqref="R27:R41 L27:L41 H27:H41 N27:N41 J27:J41 P27:P41" xr:uid="{00000000-0002-0000-08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1000000}">
          <x14:formula1>
            <xm:f>z_2_Maestros!$B$2:$B$304</xm:f>
          </x14:formula1>
          <xm:sqref>B10</xm:sqref>
        </x14:dataValidation>
        <x14:dataValidation type="list" allowBlank="1" xr:uid="{00000000-0002-0000-08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66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67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4"/>
      <c r="I27" s="65"/>
      <c r="J27" s="64"/>
      <c r="K27" s="65"/>
      <c r="L27" s="64"/>
      <c r="M27" s="65"/>
      <c r="N27" s="68"/>
      <c r="O27" s="63"/>
      <c r="P27" s="64"/>
      <c r="Q27" s="65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4"/>
      <c r="K36" s="65"/>
      <c r="L36" s="68"/>
      <c r="M36" s="63"/>
      <c r="N36" s="68"/>
      <c r="O36" s="63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4"/>
      <c r="K37" s="65"/>
      <c r="L37" s="68"/>
      <c r="M37" s="63"/>
      <c r="N37" s="68"/>
      <c r="O37" s="63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4"/>
      <c r="K38" s="65"/>
      <c r="L38" s="68"/>
      <c r="M38" s="63"/>
      <c r="N38" s="68"/>
      <c r="O38" s="63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4"/>
      <c r="K39" s="65"/>
      <c r="L39" s="68"/>
      <c r="M39" s="63"/>
      <c r="N39" s="68"/>
      <c r="O39" s="63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ISLAS GONZALEZ YUNUEN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N26:O26"/>
    <mergeCell ref="N28:O28"/>
    <mergeCell ref="P26:Q26"/>
    <mergeCell ref="R26:S26"/>
    <mergeCell ref="P28:Q28"/>
    <mergeCell ref="H21:K21"/>
    <mergeCell ref="H22:K22"/>
    <mergeCell ref="N21:Q21"/>
    <mergeCell ref="N22:Q22"/>
    <mergeCell ref="R15:S23"/>
    <mergeCell ref="N23:Q23"/>
    <mergeCell ref="H23:K23"/>
    <mergeCell ref="P33:Q33"/>
    <mergeCell ref="R33:S33"/>
    <mergeCell ref="N34:O34"/>
    <mergeCell ref="N46:R46"/>
    <mergeCell ref="H41:I41"/>
    <mergeCell ref="J41:K41"/>
    <mergeCell ref="L41:M41"/>
    <mergeCell ref="N41:O41"/>
    <mergeCell ref="P41:Q41"/>
    <mergeCell ref="R41:S41"/>
    <mergeCell ref="L42:M42"/>
    <mergeCell ref="P29:Q29"/>
    <mergeCell ref="P30:Q30"/>
    <mergeCell ref="N29:O29"/>
    <mergeCell ref="P31:Q31"/>
    <mergeCell ref="L31:M31"/>
    <mergeCell ref="L32:M32"/>
    <mergeCell ref="N32:O32"/>
    <mergeCell ref="P32:Q32"/>
    <mergeCell ref="H31:I31"/>
    <mergeCell ref="H32:I32"/>
    <mergeCell ref="N30:O30"/>
    <mergeCell ref="R30:S30"/>
    <mergeCell ref="N31:O31"/>
    <mergeCell ref="R31:S31"/>
    <mergeCell ref="R32:S32"/>
    <mergeCell ref="N33:O33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J30:K30"/>
    <mergeCell ref="L30:M30"/>
    <mergeCell ref="B31:G31"/>
    <mergeCell ref="J31:K31"/>
    <mergeCell ref="B32:G32"/>
    <mergeCell ref="J32:K32"/>
    <mergeCell ref="B33:G33"/>
    <mergeCell ref="H33:I33"/>
    <mergeCell ref="J33:K33"/>
    <mergeCell ref="L33:M33"/>
    <mergeCell ref="B34:G34"/>
    <mergeCell ref="H34:I34"/>
    <mergeCell ref="J34:K34"/>
    <mergeCell ref="L34:M34"/>
    <mergeCell ref="B36:G36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R28:S28"/>
    <mergeCell ref="B29:G29"/>
    <mergeCell ref="H29:I29"/>
    <mergeCell ref="J29:K29"/>
    <mergeCell ref="L29:M29"/>
    <mergeCell ref="R29:S29"/>
    <mergeCell ref="B30:G30"/>
    <mergeCell ref="H30:I30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48" priority="1" operator="equal">
      <formula>0</formula>
    </cfRule>
  </conditionalFormatting>
  <conditionalFormatting sqref="N15:N23">
    <cfRule type="cellIs" dxfId="47" priority="2" operator="equal">
      <formula>0</formula>
    </cfRule>
  </conditionalFormatting>
  <dataValidations count="1">
    <dataValidation type="list" allowBlank="1" sqref="H27:H41 J27:J41 L27:L41 N27:N41 R27:R41 P27:P41" xr:uid="{00000000-0002-0000-09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900-000001000000}">
          <x14:formula1>
            <xm:f>z_2_Maestros!$B$2:$B$304</xm:f>
          </x14:formula1>
          <xm:sqref>B10</xm:sqref>
        </x14:dataValidation>
        <x14:dataValidation type="list" allowBlank="1" xr:uid="{00000000-0002-0000-09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69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107" t="s">
        <v>17</v>
      </c>
      <c r="I16" s="84"/>
      <c r="J16" s="84"/>
      <c r="K16" s="108"/>
      <c r="L16" s="14">
        <f t="array" ref="L16">INDEX(z_3_Materias!B2:B508, MATCH(H16, z_3_Materias!A2:A508, 0))</f>
        <v>0</v>
      </c>
      <c r="M16" s="12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107" t="s">
        <v>17</v>
      </c>
      <c r="I17" s="84"/>
      <c r="J17" s="84"/>
      <c r="K17" s="108"/>
      <c r="L17" s="14">
        <f t="array" ref="L17">INDEX(z_3_Materias!B2:B508, MATCH(H17, z_3_Materias!A2:A508, 0))</f>
        <v>0</v>
      </c>
      <c r="M17" s="12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thickBot="1" x14ac:dyDescent="0.35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thickBot="1" x14ac:dyDescent="0.35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135"/>
      <c r="L28" s="68"/>
      <c r="M28" s="63"/>
      <c r="N28" s="68"/>
      <c r="O28" s="63"/>
      <c r="P28" s="68"/>
      <c r="Q28" s="63"/>
      <c r="R28" s="68"/>
      <c r="S28" s="63"/>
    </row>
    <row r="29" spans="2:20" ht="73.5" customHeight="1" thickBot="1" x14ac:dyDescent="0.35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126"/>
      <c r="L29" s="64"/>
      <c r="M29" s="126"/>
      <c r="N29" s="64"/>
      <c r="O29" s="65"/>
      <c r="P29" s="64"/>
      <c r="Q29" s="65"/>
      <c r="R29" s="68"/>
      <c r="S29" s="63"/>
    </row>
    <row r="30" spans="2:20" ht="73.5" customHeight="1" thickBot="1" x14ac:dyDescent="0.35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thickBot="1" x14ac:dyDescent="0.35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126"/>
      <c r="L31" s="64"/>
      <c r="M31" s="65"/>
      <c r="N31" s="64"/>
      <c r="O31" s="126"/>
      <c r="P31" s="64"/>
      <c r="Q31" s="65"/>
      <c r="R31" s="68"/>
      <c r="S31" s="63"/>
    </row>
    <row r="32" spans="2:20" ht="73.5" customHeight="1" thickBot="1" x14ac:dyDescent="0.35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126"/>
      <c r="L32" s="64"/>
      <c r="M32" s="65"/>
      <c r="N32" s="64"/>
      <c r="O32" s="65"/>
      <c r="P32" s="64"/>
      <c r="Q32" s="65"/>
      <c r="R32" s="68"/>
      <c r="S32" s="63"/>
    </row>
    <row r="33" spans="2:19" ht="73.5" customHeight="1" thickBot="1" x14ac:dyDescent="0.35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thickBot="1" x14ac:dyDescent="0.35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thickBot="1" x14ac:dyDescent="0.35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thickBot="1" x14ac:dyDescent="0.35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LANDIN HERREJON JOSE LUIS GUSTAVO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N44:R44"/>
    <mergeCell ref="N46:R46"/>
    <mergeCell ref="H41:I41"/>
    <mergeCell ref="J41:K41"/>
    <mergeCell ref="L41:M41"/>
    <mergeCell ref="N41:O41"/>
    <mergeCell ref="P41:Q41"/>
    <mergeCell ref="R41:S41"/>
    <mergeCell ref="L42:M42"/>
    <mergeCell ref="C46:I46"/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R26:S26"/>
    <mergeCell ref="P28:Q28"/>
    <mergeCell ref="P29:Q29"/>
    <mergeCell ref="P30:Q30"/>
    <mergeCell ref="N29:O29"/>
    <mergeCell ref="H21:K21"/>
    <mergeCell ref="H22:K22"/>
    <mergeCell ref="N21:Q21"/>
    <mergeCell ref="N22:Q22"/>
    <mergeCell ref="R15:S23"/>
    <mergeCell ref="N23:Q23"/>
    <mergeCell ref="H19:K19"/>
    <mergeCell ref="H20:K20"/>
    <mergeCell ref="N19:Q19"/>
    <mergeCell ref="N20:Q20"/>
    <mergeCell ref="H17:K17"/>
    <mergeCell ref="H18:K18"/>
    <mergeCell ref="N28:O28"/>
    <mergeCell ref="N27:O27"/>
    <mergeCell ref="N26:O26"/>
    <mergeCell ref="P26:Q26"/>
    <mergeCell ref="N17:Q17"/>
    <mergeCell ref="N18:Q18"/>
    <mergeCell ref="J29:K29"/>
    <mergeCell ref="H23:K23"/>
    <mergeCell ref="B25:G25"/>
    <mergeCell ref="L25:M25"/>
    <mergeCell ref="B26:G26"/>
    <mergeCell ref="H26:I26"/>
    <mergeCell ref="J26:K26"/>
    <mergeCell ref="L26:M26"/>
    <mergeCell ref="B41:G41"/>
    <mergeCell ref="C44:H44"/>
    <mergeCell ref="B27:G27"/>
    <mergeCell ref="H27:I27"/>
    <mergeCell ref="J27:K27"/>
    <mergeCell ref="L27:M27"/>
    <mergeCell ref="L33:M33"/>
    <mergeCell ref="B35:G35"/>
    <mergeCell ref="H35:I35"/>
    <mergeCell ref="J35:K35"/>
    <mergeCell ref="L35:M35"/>
    <mergeCell ref="B37:G37"/>
    <mergeCell ref="H37:I37"/>
    <mergeCell ref="J37:K37"/>
    <mergeCell ref="L37:M37"/>
    <mergeCell ref="B39:G39"/>
    <mergeCell ref="H39:I39"/>
    <mergeCell ref="C47:I47"/>
    <mergeCell ref="N47:R48"/>
    <mergeCell ref="C48:H48"/>
    <mergeCell ref="C50:I50"/>
    <mergeCell ref="C51:I51"/>
    <mergeCell ref="L29:M29"/>
    <mergeCell ref="B29:G29"/>
    <mergeCell ref="H29:I29"/>
    <mergeCell ref="J28:K28"/>
    <mergeCell ref="R29:S29"/>
    <mergeCell ref="B30:G30"/>
    <mergeCell ref="H30:I30"/>
    <mergeCell ref="J30:K30"/>
    <mergeCell ref="L30:M30"/>
    <mergeCell ref="N30:O30"/>
    <mergeCell ref="R30:S30"/>
    <mergeCell ref="B31:G31"/>
    <mergeCell ref="H31:I31"/>
    <mergeCell ref="J31:K31"/>
    <mergeCell ref="L31:M31"/>
    <mergeCell ref="N31:O31"/>
    <mergeCell ref="B33:G33"/>
    <mergeCell ref="H33:I33"/>
    <mergeCell ref="J33:K33"/>
    <mergeCell ref="P27:Q27"/>
    <mergeCell ref="R27:S27"/>
    <mergeCell ref="B28:G28"/>
    <mergeCell ref="H28:I28"/>
    <mergeCell ref="L28:M28"/>
    <mergeCell ref="R28:S28"/>
    <mergeCell ref="P31:Q31"/>
    <mergeCell ref="R31:S31"/>
    <mergeCell ref="B32:G32"/>
    <mergeCell ref="H32:I32"/>
    <mergeCell ref="J32:K32"/>
    <mergeCell ref="L32:M32"/>
    <mergeCell ref="N32:O32"/>
    <mergeCell ref="P32:Q32"/>
    <mergeCell ref="R32:S32"/>
    <mergeCell ref="N33:O33"/>
    <mergeCell ref="P33:Q33"/>
    <mergeCell ref="R33:S33"/>
    <mergeCell ref="B34:G34"/>
    <mergeCell ref="H34:I34"/>
    <mergeCell ref="J34:K34"/>
    <mergeCell ref="L34:M34"/>
    <mergeCell ref="N34:O34"/>
    <mergeCell ref="P34:Q34"/>
    <mergeCell ref="R34:S34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N37:O37"/>
    <mergeCell ref="P37:Q37"/>
    <mergeCell ref="R37:S37"/>
    <mergeCell ref="B38:G38"/>
    <mergeCell ref="H38:I38"/>
    <mergeCell ref="J38:K38"/>
    <mergeCell ref="L38:M38"/>
    <mergeCell ref="N38:O38"/>
    <mergeCell ref="P38:Q38"/>
    <mergeCell ref="R38:S38"/>
    <mergeCell ref="J39:K39"/>
    <mergeCell ref="L39:M39"/>
    <mergeCell ref="N39:O39"/>
    <mergeCell ref="P39:Q39"/>
    <mergeCell ref="R39:S39"/>
    <mergeCell ref="B40:G40"/>
    <mergeCell ref="H40:I40"/>
    <mergeCell ref="J40:K40"/>
    <mergeCell ref="L40:M40"/>
    <mergeCell ref="N40:O40"/>
    <mergeCell ref="P40:Q40"/>
    <mergeCell ref="R40:S40"/>
  </mergeCells>
  <conditionalFormatting sqref="L15:L23">
    <cfRule type="cellIs" dxfId="46" priority="2" operator="equal">
      <formula>0</formula>
    </cfRule>
  </conditionalFormatting>
  <conditionalFormatting sqref="N15:N23">
    <cfRule type="cellIs" dxfId="45" priority="1" operator="equal">
      <formula>0</formula>
    </cfRule>
  </conditionalFormatting>
  <dataValidations count="1">
    <dataValidation type="list" allowBlank="1" sqref="N27:N41 J27:J41 L27:L41 H27:H41 R27:R41 P27:P41" xr:uid="{00000000-0002-0000-0A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A00-000001000000}">
          <x14:formula1>
            <xm:f>z_2_Maestros!$B$2:$B$304</xm:f>
          </x14:formula1>
          <xm:sqref>B10</xm:sqref>
        </x14:dataValidation>
        <x14:dataValidation type="list" allowBlank="1" xr:uid="{00000000-0002-0000-0A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73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577</v>
      </c>
      <c r="I15" s="124"/>
      <c r="J15" s="124"/>
      <c r="K15" s="125"/>
      <c r="L15" s="11" t="str">
        <f t="array" ref="L15">INDEX(z_3_Materias!B2:B508, MATCH(H15, z_3_Materias!A2:A508, 0))</f>
        <v>24CD019</v>
      </c>
      <c r="M15" s="12" t="s">
        <v>614</v>
      </c>
      <c r="N15" s="109">
        <f t="array" ref="N15">INDEX(z_3_Materias!D2:D508, MATCH(H15, z_3_Materias!A2:A508, 0))</f>
        <v>6</v>
      </c>
      <c r="O15" s="84"/>
      <c r="P15" s="84"/>
      <c r="Q15" s="108"/>
      <c r="R15" s="90">
        <f>SUM(N15:Q23)</f>
        <v>20</v>
      </c>
      <c r="S15" s="91"/>
      <c r="T15" s="13" t="str">
        <f t="shared" ref="T15:T23" si="0">H15&amp;" "&amp;M15</f>
        <v>Procesamiento de Datos* CD301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610</v>
      </c>
      <c r="I16" s="87"/>
      <c r="J16" s="87"/>
      <c r="K16" s="88"/>
      <c r="L16" s="14" t="str">
        <f t="array" ref="L16">INDEX(z_3_Materias!B2:B508, MATCH(H16, z_3_Materias!A2:A508, 0))</f>
        <v>24IRD020</v>
      </c>
      <c r="M16" s="15" t="s">
        <v>615</v>
      </c>
      <c r="N16" s="89">
        <f t="array" ref="N16">INDEX(z_3_Materias!D2:D508, MATCH(H16, z_3_Materias!A2:A508, 0))</f>
        <v>7</v>
      </c>
      <c r="O16" s="87"/>
      <c r="P16" s="87"/>
      <c r="Q16" s="88"/>
      <c r="R16" s="92"/>
      <c r="S16" s="91"/>
      <c r="T16" s="13" t="str">
        <f t="shared" si="0"/>
        <v>Programación Orientada a Objetos_ IRD301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610</v>
      </c>
      <c r="I17" s="87"/>
      <c r="J17" s="87"/>
      <c r="K17" s="88"/>
      <c r="L17" s="14" t="str">
        <f t="array" ref="L17">INDEX(z_3_Materias!B2:B508, MATCH(H17, z_3_Materias!A2:A508, 0))</f>
        <v>24IRD020</v>
      </c>
      <c r="M17" s="15" t="s">
        <v>616</v>
      </c>
      <c r="N17" s="89">
        <f t="array" ref="N17">INDEX(z_3_Materias!D2:D508, MATCH(H17, z_3_Materias!A2:A508, 0))</f>
        <v>7</v>
      </c>
      <c r="O17" s="87"/>
      <c r="P17" s="87"/>
      <c r="Q17" s="88"/>
      <c r="R17" s="92"/>
      <c r="S17" s="91"/>
      <c r="T17" s="13" t="str">
        <f t="shared" si="0"/>
        <v>Programación Orientada a Objetos_ IRD302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136" t="s">
        <v>618</v>
      </c>
      <c r="I27" s="137"/>
      <c r="J27" s="136" t="s">
        <v>617</v>
      </c>
      <c r="K27" s="137"/>
      <c r="L27" s="136" t="s">
        <v>618</v>
      </c>
      <c r="M27" s="137"/>
      <c r="N27" s="64"/>
      <c r="O27" s="65"/>
      <c r="P27" s="138"/>
      <c r="Q27" s="139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136" t="s">
        <v>618</v>
      </c>
      <c r="I28" s="137"/>
      <c r="J28" s="136" t="s">
        <v>617</v>
      </c>
      <c r="K28" s="137"/>
      <c r="L28" s="136" t="s">
        <v>618</v>
      </c>
      <c r="M28" s="137"/>
      <c r="N28" s="64"/>
      <c r="O28" s="65"/>
      <c r="P28" s="138"/>
      <c r="Q28" s="139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136" t="s">
        <v>617</v>
      </c>
      <c r="I29" s="137"/>
      <c r="J29" s="136" t="s">
        <v>617</v>
      </c>
      <c r="K29" s="137"/>
      <c r="L29" s="136" t="s">
        <v>618</v>
      </c>
      <c r="M29" s="137"/>
      <c r="N29" s="136" t="s">
        <v>618</v>
      </c>
      <c r="O29" s="137"/>
      <c r="P29" s="136" t="s">
        <v>617</v>
      </c>
      <c r="Q29" s="137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136" t="s">
        <v>617</v>
      </c>
      <c r="I30" s="137"/>
      <c r="J30" s="64"/>
      <c r="K30" s="65"/>
      <c r="L30" s="64"/>
      <c r="M30" s="65"/>
      <c r="N30" s="136" t="s">
        <v>618</v>
      </c>
      <c r="O30" s="137"/>
      <c r="P30" s="136" t="s">
        <v>617</v>
      </c>
      <c r="Q30" s="137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136" t="s">
        <v>619</v>
      </c>
      <c r="I31" s="137"/>
      <c r="J31" s="64"/>
      <c r="K31" s="65"/>
      <c r="L31" s="64"/>
      <c r="M31" s="65"/>
      <c r="N31" s="136" t="s">
        <v>619</v>
      </c>
      <c r="O31" s="137"/>
      <c r="P31" s="136" t="s">
        <v>619</v>
      </c>
      <c r="Q31" s="137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136" t="s">
        <v>619</v>
      </c>
      <c r="I32" s="137"/>
      <c r="J32" s="64"/>
      <c r="K32" s="65"/>
      <c r="L32" s="64"/>
      <c r="M32" s="65"/>
      <c r="N32" s="136" t="s">
        <v>619</v>
      </c>
      <c r="O32" s="137"/>
      <c r="P32" s="136" t="s">
        <v>619</v>
      </c>
      <c r="Q32" s="137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 xml:space="preserve">LIMA ARRONA FERNANDO 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44" priority="1" operator="equal">
      <formula>0</formula>
    </cfRule>
  </conditionalFormatting>
  <conditionalFormatting sqref="N15:N23">
    <cfRule type="cellIs" dxfId="43" priority="2" operator="equal">
      <formula>0</formula>
    </cfRule>
  </conditionalFormatting>
  <dataValidations count="1">
    <dataValidation type="list" allowBlank="1" sqref="L27:L41 H27:H41 J27:J41 R27:R41 N27:N41 P27:P41" xr:uid="{00000000-0002-0000-0B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B00-000001000000}">
          <x14:formula1>
            <xm:f>z_2_Maestros!$B$2:$B$304</xm:f>
          </x14:formula1>
          <xm:sqref>B10</xm:sqref>
        </x14:dataValidation>
        <x14:dataValidation type="list" allowBlank="1" xr:uid="{00000000-0002-0000-0B00-000002000000}">
          <x14:formula1>
            <xm:f>z_3_Materias!$A$2:$A$508</xm:f>
          </x14:formula1>
          <xm:sqref>H15:K23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76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21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8"/>
      <c r="K41" s="63"/>
      <c r="L41" s="64"/>
      <c r="M41" s="65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MALDONADO GUERRERO ALHAN GERARD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42" priority="1" operator="equal">
      <formula>0</formula>
    </cfRule>
  </conditionalFormatting>
  <conditionalFormatting sqref="N15:N23">
    <cfRule type="cellIs" dxfId="41" priority="2" operator="equal">
      <formula>0</formula>
    </cfRule>
  </conditionalFormatting>
  <dataValidations count="1">
    <dataValidation type="list" allowBlank="1" sqref="H27:H41 J27:J41 L27:L41 N27:N41 P27:P41 R27:R41" xr:uid="{00000000-0002-0000-0C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C00-000001000000}">
          <x14:formula1>
            <xm:f>z_2_Maestros!$B$2:$B$304</xm:f>
          </x14:formula1>
          <xm:sqref>B10</xm:sqref>
        </x14:dataValidation>
        <x14:dataValidation type="list" allowBlank="1" xr:uid="{00000000-0002-0000-0C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81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4"/>
      <c r="I27" s="65"/>
      <c r="J27" s="68"/>
      <c r="K27" s="63"/>
      <c r="L27" s="64"/>
      <c r="M27" s="65"/>
      <c r="N27" s="68"/>
      <c r="O27" s="63"/>
      <c r="P27" s="64"/>
      <c r="Q27" s="65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8"/>
      <c r="K28" s="63"/>
      <c r="L28" s="64"/>
      <c r="M28" s="65"/>
      <c r="N28" s="68"/>
      <c r="O28" s="63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8"/>
      <c r="K29" s="63"/>
      <c r="L29" s="64"/>
      <c r="M29" s="65"/>
      <c r="N29" s="68"/>
      <c r="O29" s="63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8"/>
      <c r="K30" s="63"/>
      <c r="L30" s="64"/>
      <c r="M30" s="65"/>
      <c r="N30" s="68"/>
      <c r="O30" s="63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8"/>
      <c r="K31" s="63"/>
      <c r="L31" s="64"/>
      <c r="M31" s="65"/>
      <c r="N31" s="68"/>
      <c r="O31" s="13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8"/>
      <c r="K32" s="135"/>
      <c r="L32" s="64"/>
      <c r="M32" s="65"/>
      <c r="N32" s="68"/>
      <c r="O32" s="63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8"/>
      <c r="K33" s="63"/>
      <c r="L33" s="64"/>
      <c r="M33" s="65"/>
      <c r="N33" s="68"/>
      <c r="O33" s="63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8"/>
      <c r="K34" s="63"/>
      <c r="L34" s="64"/>
      <c r="M34" s="65"/>
      <c r="N34" s="68"/>
      <c r="O34" s="63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8"/>
      <c r="K35" s="63"/>
      <c r="L35" s="64"/>
      <c r="M35" s="65"/>
      <c r="N35" s="68"/>
      <c r="O35" s="63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8"/>
      <c r="K36" s="63"/>
      <c r="L36" s="64"/>
      <c r="M36" s="65"/>
      <c r="N36" s="68"/>
      <c r="O36" s="63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8"/>
      <c r="K37" s="63"/>
      <c r="L37" s="64"/>
      <c r="M37" s="65"/>
      <c r="N37" s="68"/>
      <c r="O37" s="63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8"/>
      <c r="K38" s="63"/>
      <c r="L38" s="64"/>
      <c r="M38" s="65"/>
      <c r="N38" s="68"/>
      <c r="O38" s="63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MARTINEZ VEGA FERMIN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40" priority="1" operator="equal">
      <formula>0</formula>
    </cfRule>
  </conditionalFormatting>
  <conditionalFormatting sqref="N15:N23">
    <cfRule type="cellIs" dxfId="39" priority="2" operator="equal">
      <formula>0</formula>
    </cfRule>
  </conditionalFormatting>
  <dataValidations count="1">
    <dataValidation type="list" allowBlank="1" sqref="H27:H41 J27:J41 L27:L41 N27:N41 P27:P41 R27:R41" xr:uid="{00000000-0002-0000-0D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D00-000001000000}">
          <x14:formula1>
            <xm:f>z_2_Maestros!$B$2:$B$304</xm:f>
          </x14:formula1>
          <xm:sqref>B10</xm:sqref>
        </x14:dataValidation>
        <x14:dataValidation type="list" allowBlank="1" xr:uid="{00000000-0002-0000-0D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84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/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126"/>
      <c r="J28" s="64"/>
      <c r="K28" s="126"/>
      <c r="L28" s="64"/>
      <c r="M28" s="126"/>
      <c r="N28" s="64"/>
      <c r="O28" s="126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126"/>
      <c r="J29" s="64"/>
      <c r="K29" s="126"/>
      <c r="L29" s="64"/>
      <c r="M29" s="126"/>
      <c r="N29" s="64"/>
      <c r="O29" s="126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126"/>
      <c r="J30" s="64"/>
      <c r="K30" s="126"/>
      <c r="L30" s="64"/>
      <c r="M30" s="126"/>
      <c r="N30" s="64"/>
      <c r="O30" s="126"/>
      <c r="P30" s="64"/>
      <c r="Q30" s="126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126"/>
      <c r="L31" s="64"/>
      <c r="M31" s="126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126"/>
      <c r="L32" s="64"/>
      <c r="M32" s="126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126"/>
      <c r="N33" s="64"/>
      <c r="O33" s="65"/>
      <c r="P33" s="64"/>
      <c r="Q33" s="126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126"/>
      <c r="N34" s="64"/>
      <c r="O34" s="126"/>
      <c r="P34" s="64"/>
      <c r="Q34" s="126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126"/>
      <c r="J35" s="64"/>
      <c r="K35" s="65"/>
      <c r="L35" s="64"/>
      <c r="M35" s="126"/>
      <c r="N35" s="64"/>
      <c r="O35" s="126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MENDOZA CALVA HECTOR RAUL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38" priority="1" operator="equal">
      <formula>0</formula>
    </cfRule>
  </conditionalFormatting>
  <conditionalFormatting sqref="N15:N23">
    <cfRule type="cellIs" dxfId="37" priority="2" operator="equal">
      <formula>0</formula>
    </cfRule>
  </conditionalFormatting>
  <dataValidations count="1">
    <dataValidation type="list" allowBlank="1" sqref="H27:H41 R27:R41 J27:J41 L27:L41 N27:N41 P27:P41" xr:uid="{00000000-0002-0000-0E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E00-000001000000}">
          <x14:formula1>
            <xm:f>z_2_Maestros!$B$2:$B$304</xm:f>
          </x14:formula1>
          <xm:sqref>B10</xm:sqref>
        </x14:dataValidation>
        <x14:dataValidation type="list" allowBlank="1" xr:uid="{00000000-0002-0000-0E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86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/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MONROY TREJO ALEJANDRO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83" t="s">
        <v>104</v>
      </c>
      <c r="D50" s="84"/>
      <c r="E50" s="84"/>
      <c r="F50" s="84"/>
      <c r="G50" s="84"/>
      <c r="H50" s="84"/>
      <c r="I50" s="84"/>
    </row>
    <row r="51" spans="3:9" ht="14.25" customHeight="1" x14ac:dyDescent="0.3">
      <c r="C51" s="70" t="s">
        <v>42</v>
      </c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36" priority="1" operator="equal">
      <formula>0</formula>
    </cfRule>
  </conditionalFormatting>
  <conditionalFormatting sqref="N15:N23">
    <cfRule type="cellIs" dxfId="35" priority="2" operator="equal">
      <formula>0</formula>
    </cfRule>
  </conditionalFormatting>
  <dataValidations count="1">
    <dataValidation type="list" allowBlank="1" sqref="H27:H41 R27:R41 J27:J41 N27:N41 L27:L41 P27:P41" xr:uid="{00000000-0002-0000-0F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F00-000001000000}">
          <x14:formula1>
            <xm:f>z_2_Maestros!$B$2:$B$304</xm:f>
          </x14:formula1>
          <xm:sqref>B10</xm:sqref>
        </x14:dataValidation>
        <x14:dataValidation type="list" allowBlank="1" xr:uid="{00000000-0002-0000-0F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5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91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4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8"/>
      <c r="K35" s="63"/>
      <c r="L35" s="68"/>
      <c r="M35" s="63"/>
      <c r="N35" s="68"/>
      <c r="O35" s="63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8"/>
      <c r="K36" s="63"/>
      <c r="L36" s="68"/>
      <c r="M36" s="63"/>
      <c r="N36" s="68"/>
      <c r="O36" s="63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8"/>
      <c r="K37" s="63"/>
      <c r="L37" s="64"/>
      <c r="M37" s="65"/>
      <c r="N37" s="68"/>
      <c r="O37" s="63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8"/>
      <c r="K38" s="63"/>
      <c r="L38" s="64"/>
      <c r="M38" s="65"/>
      <c r="N38" s="68"/>
      <c r="O38" s="63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8"/>
      <c r="K39" s="63"/>
      <c r="L39" s="64"/>
      <c r="M39" s="65"/>
      <c r="N39" s="68"/>
      <c r="O39" s="63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8"/>
      <c r="K40" s="63"/>
      <c r="L40" s="64"/>
      <c r="M40" s="65"/>
      <c r="N40" s="68"/>
      <c r="O40" s="63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8"/>
      <c r="K41" s="63"/>
      <c r="L41" s="64"/>
      <c r="M41" s="65"/>
      <c r="N41" s="68"/>
      <c r="O41" s="63"/>
      <c r="P41" s="64"/>
      <c r="Q41" s="65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MURGUIA GONZALEZ CYNTHIA BEATRIZ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34" priority="1" operator="equal">
      <formula>0</formula>
    </cfRule>
  </conditionalFormatting>
  <conditionalFormatting sqref="N15:N23">
    <cfRule type="cellIs" dxfId="33" priority="2" operator="equal">
      <formula>0</formula>
    </cfRule>
  </conditionalFormatting>
  <dataValidations count="1">
    <dataValidation type="list" allowBlank="1" sqref="H27:H41 J27:J41 L27:L41 N27:N41 P27:P41 R27:R41" xr:uid="{00000000-0002-0000-10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000-000001000000}">
          <x14:formula1>
            <xm:f>z_2_Maestros!$B$2:$B$304</xm:f>
          </x14:formula1>
          <xm:sqref>B10</xm:sqref>
        </x14:dataValidation>
        <x14:dataValidation type="list" allowBlank="1" xr:uid="{00000000-0002-0000-10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93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86" t="s">
        <v>574</v>
      </c>
      <c r="I15" s="87"/>
      <c r="J15" s="87"/>
      <c r="K15" s="88"/>
      <c r="L15" s="11" t="str">
        <f t="array" ref="L15">INDEX(z_3_Materias!B2:B508, MATCH(H15, z_3_Materias!A2:A508, 0))</f>
        <v>24CD016</v>
      </c>
      <c r="M15" s="12" t="s">
        <v>614</v>
      </c>
      <c r="N15" s="109">
        <f t="array" ref="N15">INDEX(z_3_Materias!D2:D508, MATCH(H15, z_3_Materias!A2:A508, 0))</f>
        <v>4</v>
      </c>
      <c r="O15" s="84"/>
      <c r="P15" s="84"/>
      <c r="Q15" s="108"/>
      <c r="R15" s="90">
        <f>SUM(N15:Q23)</f>
        <v>12</v>
      </c>
      <c r="S15" s="91"/>
      <c r="T15" s="13" t="str">
        <f t="shared" ref="T15:T23" si="0">H15&amp;" "&amp;M15</f>
        <v>Desarrollo del Pensamiento y Toma de Decisiones* CD301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606</v>
      </c>
      <c r="I16" s="87"/>
      <c r="J16" s="87"/>
      <c r="K16" s="88"/>
      <c r="L16" s="14" t="str">
        <f t="array" ref="L16">INDEX(z_3_Materias!B2:B508, MATCH(H16, z_3_Materias!A2:A508, 0))</f>
        <v>24IRD016</v>
      </c>
      <c r="M16" s="15" t="s">
        <v>615</v>
      </c>
      <c r="N16" s="89">
        <f t="array" ref="N16">INDEX(z_3_Materias!D2:D508, MATCH(H16, z_3_Materias!A2:A508, 0))</f>
        <v>4</v>
      </c>
      <c r="O16" s="87"/>
      <c r="P16" s="87"/>
      <c r="Q16" s="88"/>
      <c r="R16" s="92"/>
      <c r="S16" s="91"/>
      <c r="T16" s="13" t="str">
        <f t="shared" si="0"/>
        <v>Desarrollo del Pensamiento y Toma de Decisiones_ IRD301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606</v>
      </c>
      <c r="I17" s="87"/>
      <c r="J17" s="87"/>
      <c r="K17" s="88"/>
      <c r="L17" s="14" t="str">
        <f t="array" ref="L17">INDEX(z_3_Materias!B2:B508, MATCH(H17, z_3_Materias!A2:A508, 0))</f>
        <v>24IRD016</v>
      </c>
      <c r="M17" s="15" t="s">
        <v>616</v>
      </c>
      <c r="N17" s="89">
        <f t="array" ref="N17">INDEX(z_3_Materias!D2:D508, MATCH(H17, z_3_Materias!A2:A508, 0))</f>
        <v>4</v>
      </c>
      <c r="O17" s="87"/>
      <c r="P17" s="87"/>
      <c r="Q17" s="88"/>
      <c r="R17" s="92"/>
      <c r="S17" s="91"/>
      <c r="T17" s="13" t="str">
        <f t="shared" si="0"/>
        <v>Desarrollo del Pensamiento y Toma de Decisiones_ IRD302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136" t="s">
        <v>620</v>
      </c>
      <c r="I27" s="137"/>
      <c r="J27" s="136" t="s">
        <v>621</v>
      </c>
      <c r="K27" s="137"/>
      <c r="L27" s="136" t="s">
        <v>620</v>
      </c>
      <c r="M27" s="137"/>
      <c r="N27" s="136" t="s">
        <v>621</v>
      </c>
      <c r="O27" s="137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136" t="s">
        <v>620</v>
      </c>
      <c r="I28" s="137"/>
      <c r="J28" s="136" t="s">
        <v>621</v>
      </c>
      <c r="K28" s="137"/>
      <c r="L28" s="136" t="s">
        <v>620</v>
      </c>
      <c r="M28" s="137"/>
      <c r="N28" s="136" t="s">
        <v>621</v>
      </c>
      <c r="O28" s="137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136" t="s">
        <v>622</v>
      </c>
      <c r="I29" s="137"/>
      <c r="J29" s="136" t="s">
        <v>622</v>
      </c>
      <c r="K29" s="137"/>
      <c r="L29" s="136" t="s">
        <v>622</v>
      </c>
      <c r="M29" s="137"/>
      <c r="N29" s="136" t="s">
        <v>622</v>
      </c>
      <c r="O29" s="137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8"/>
      <c r="K30" s="63"/>
      <c r="L30" s="64"/>
      <c r="M30" s="65"/>
      <c r="N30" s="68"/>
      <c r="O30" s="63"/>
      <c r="P30" s="68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8"/>
      <c r="K31" s="63"/>
      <c r="L31" s="64"/>
      <c r="M31" s="65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8"/>
      <c r="K32" s="63"/>
      <c r="L32" s="64"/>
      <c r="M32" s="65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8"/>
      <c r="K33" s="63"/>
      <c r="L33" s="64"/>
      <c r="M33" s="65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8"/>
      <c r="K34" s="63"/>
      <c r="L34" s="64"/>
      <c r="M34" s="65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8"/>
      <c r="K35" s="63"/>
      <c r="L35" s="64"/>
      <c r="M35" s="65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8"/>
      <c r="K36" s="63"/>
      <c r="L36" s="64"/>
      <c r="M36" s="65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8"/>
      <c r="K37" s="63"/>
      <c r="L37" s="64"/>
      <c r="M37" s="65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8"/>
      <c r="K38" s="63"/>
      <c r="L38" s="64"/>
      <c r="M38" s="65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8"/>
      <c r="K39" s="63"/>
      <c r="L39" s="64"/>
      <c r="M39" s="65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8"/>
      <c r="K40" s="63"/>
      <c r="L40" s="64"/>
      <c r="M40" s="65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8"/>
      <c r="K41" s="63"/>
      <c r="L41" s="64"/>
      <c r="M41" s="65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OLMOS OLALDE VICTOR HUGO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32" priority="1" operator="equal">
      <formula>0</formula>
    </cfRule>
  </conditionalFormatting>
  <conditionalFormatting sqref="N15:N23">
    <cfRule type="cellIs" dxfId="31" priority="2" operator="equal">
      <formula>0</formula>
    </cfRule>
  </conditionalFormatting>
  <dataValidations count="1">
    <dataValidation type="list" allowBlank="1" sqref="R27:R41 J27:J41 H27:H41 L27:L41 P27:P41 N27:N41" xr:uid="{00000000-0002-0000-11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100-000001000000}">
          <x14:formula1>
            <xm:f>z_2_Maestros!$B$2:$B$304</xm:f>
          </x14:formula1>
          <xm:sqref>B10</xm:sqref>
        </x14:dataValidation>
        <x14:dataValidation type="list" allowBlank="1" xr:uid="{00000000-0002-0000-11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96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4"/>
      <c r="K41" s="65"/>
      <c r="L41" s="64"/>
      <c r="M41" s="65"/>
      <c r="N41" s="64"/>
      <c r="O41" s="65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ORDOÑEZ MORALES LUIS MARTIN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30" priority="1" operator="equal">
      <formula>0</formula>
    </cfRule>
  </conditionalFormatting>
  <conditionalFormatting sqref="N15:N23">
    <cfRule type="cellIs" dxfId="29" priority="3" operator="equal">
      <formula>0</formula>
    </cfRule>
  </conditionalFormatting>
  <dataValidations count="1">
    <dataValidation type="list" allowBlank="1" sqref="R27:R41 H27:H41 J27:J41 N27:N41 P27:P41 L27:L41" xr:uid="{00000000-0002-0000-12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200-000001000000}">
          <x14:formula1>
            <xm:f>z_2_Maestros!$B$2:$B$304</xm:f>
          </x14:formula1>
          <xm:sqref>B10</xm:sqref>
        </x14:dataValidation>
        <x14:dataValidation type="list" allowBlank="1" xr:uid="{00000000-0002-0000-12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8">
    <tabColor rgb="FFFFC000"/>
    <pageSetUpPr fitToPage="1"/>
  </sheetPr>
  <dimension ref="B1:T51"/>
  <sheetViews>
    <sheetView view="pageBreakPreview" topLeftCell="A18" zoomScale="60" zoomScaleNormal="3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100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47">
        <f t="array" ref="L15">INDEX(z_3_Materias!B2:B508, MATCH(H15, z_3_Materias!A2:A508, 0))</f>
        <v>0</v>
      </c>
      <c r="M15" s="48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123" t="s">
        <v>17</v>
      </c>
      <c r="I16" s="124"/>
      <c r="J16" s="124"/>
      <c r="K16" s="125"/>
      <c r="L16" s="49">
        <f t="array" ref="L16">INDEX(z_3_Materias!B2:B508, MATCH(H16, z_3_Materias!A2:A508, 0))</f>
        <v>0</v>
      </c>
      <c r="M16" s="48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141"/>
      <c r="M25" s="76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6"/>
      <c r="K27" s="67"/>
      <c r="L27" s="68"/>
      <c r="M27" s="63"/>
      <c r="N27" s="68"/>
      <c r="O27" s="63"/>
      <c r="P27" s="68"/>
      <c r="Q27" s="63"/>
      <c r="R27" s="64"/>
      <c r="S27" s="65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6"/>
      <c r="K28" s="67"/>
      <c r="L28" s="68"/>
      <c r="M28" s="63"/>
      <c r="N28" s="68"/>
      <c r="O28" s="63"/>
      <c r="P28" s="68"/>
      <c r="Q28" s="63"/>
      <c r="R28" s="64"/>
      <c r="S28" s="65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6"/>
      <c r="K29" s="67"/>
      <c r="L29" s="68"/>
      <c r="M29" s="63"/>
      <c r="N29" s="68"/>
      <c r="O29" s="63"/>
      <c r="P29" s="68"/>
      <c r="Q29" s="63"/>
      <c r="R29" s="64"/>
      <c r="S29" s="65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42"/>
      <c r="Q30" s="67"/>
      <c r="R30" s="64"/>
      <c r="S30" s="65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6"/>
      <c r="Q31" s="67"/>
      <c r="R31" s="64"/>
      <c r="S31" s="65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4"/>
      <c r="S32" s="65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6"/>
      <c r="I33" s="67"/>
      <c r="J33" s="64"/>
      <c r="K33" s="65"/>
      <c r="L33" s="66"/>
      <c r="M33" s="67"/>
      <c r="N33" s="64"/>
      <c r="O33" s="65"/>
      <c r="P33" s="64"/>
      <c r="Q33" s="65"/>
      <c r="R33" s="64"/>
      <c r="S33" s="65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6"/>
      <c r="I34" s="67"/>
      <c r="J34" s="64"/>
      <c r="K34" s="65"/>
      <c r="L34" s="66"/>
      <c r="M34" s="67"/>
      <c r="N34" s="66"/>
      <c r="O34" s="67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6"/>
      <c r="I36" s="67"/>
      <c r="J36" s="66"/>
      <c r="K36" s="67"/>
      <c r="L36" s="66"/>
      <c r="M36" s="67"/>
      <c r="N36" s="64"/>
      <c r="O36" s="65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6"/>
      <c r="I37" s="67"/>
      <c r="J37" s="66"/>
      <c r="K37" s="67"/>
      <c r="L37" s="66"/>
      <c r="M37" s="67"/>
      <c r="N37" s="66"/>
      <c r="O37" s="67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6"/>
      <c r="I38" s="67"/>
      <c r="J38" s="66"/>
      <c r="K38" s="67"/>
      <c r="L38" s="66"/>
      <c r="M38" s="67"/>
      <c r="N38" s="66"/>
      <c r="O38" s="67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6"/>
      <c r="I39" s="67"/>
      <c r="J39" s="66"/>
      <c r="K39" s="67"/>
      <c r="L39" s="66"/>
      <c r="M39" s="67"/>
      <c r="N39" s="66"/>
      <c r="O39" s="67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6"/>
      <c r="K40" s="67"/>
      <c r="L40" s="64"/>
      <c r="M40" s="65"/>
      <c r="N40" s="64"/>
      <c r="O40" s="65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4"/>
      <c r="K41" s="65"/>
      <c r="L41" s="64"/>
      <c r="M41" s="65"/>
      <c r="N41" s="64"/>
      <c r="O41" s="65"/>
      <c r="P41" s="64"/>
      <c r="Q41" s="65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PEREZ SANCHEZ RAFAEL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49" spans="3:9" ht="14.25" customHeight="1" x14ac:dyDescent="0.3">
      <c r="C49" s="83" t="s">
        <v>104</v>
      </c>
      <c r="D49" s="84"/>
      <c r="E49" s="84"/>
      <c r="F49" s="84"/>
      <c r="G49" s="84"/>
      <c r="H49" s="84"/>
      <c r="I49" s="84"/>
    </row>
    <row r="50" spans="3:9" ht="14.25" customHeight="1" x14ac:dyDescent="0.3">
      <c r="C50" s="70" t="s">
        <v>42</v>
      </c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4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N32:O32"/>
    <mergeCell ref="P32:Q32"/>
    <mergeCell ref="R32:S32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N30:O30"/>
    <mergeCell ref="P30:Q30"/>
    <mergeCell ref="R30:S30"/>
    <mergeCell ref="N31:O31"/>
    <mergeCell ref="P31:Q31"/>
    <mergeCell ref="R31:S31"/>
    <mergeCell ref="B25:G25"/>
    <mergeCell ref="L25:M25"/>
    <mergeCell ref="B26:G26"/>
    <mergeCell ref="H26:I26"/>
    <mergeCell ref="J26:K26"/>
    <mergeCell ref="L26:M26"/>
    <mergeCell ref="C50:I50"/>
    <mergeCell ref="C51:I51"/>
    <mergeCell ref="B41:G41"/>
    <mergeCell ref="C44:H44"/>
    <mergeCell ref="C46:I46"/>
    <mergeCell ref="C47:I47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N47:R48"/>
    <mergeCell ref="C48:H48"/>
    <mergeCell ref="C49:I49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P29:Q29"/>
    <mergeCell ref="R29:S29"/>
    <mergeCell ref="B33:G33"/>
    <mergeCell ref="H33:I33"/>
    <mergeCell ref="J33:K33"/>
    <mergeCell ref="L33:M33"/>
    <mergeCell ref="N33:O33"/>
    <mergeCell ref="P33:Q33"/>
    <mergeCell ref="R33:S33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  <mergeCell ref="B40:G40"/>
    <mergeCell ref="H40:I40"/>
    <mergeCell ref="J40:K40"/>
    <mergeCell ref="L40:M40"/>
    <mergeCell ref="N40:O40"/>
    <mergeCell ref="P40:Q40"/>
    <mergeCell ref="R40:S40"/>
  </mergeCells>
  <conditionalFormatting sqref="L15:L23">
    <cfRule type="cellIs" dxfId="28" priority="1" operator="equal">
      <formula>0</formula>
    </cfRule>
  </conditionalFormatting>
  <conditionalFormatting sqref="N15:N23">
    <cfRule type="cellIs" dxfId="27" priority="2" operator="equal">
      <formula>0</formula>
    </cfRule>
  </conditionalFormatting>
  <dataValidations count="1">
    <dataValidation type="list" allowBlank="1" sqref="H27:H41 J27:J41 L27:L41 N27:N41 P27:P41 R27:R41" xr:uid="{00000000-0002-0000-13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300-000001000000}">
          <x14:formula1>
            <xm:f>z_2_Maestros!$B$2:$B$304</xm:f>
          </x14:formula1>
          <xm:sqref>B10</xm:sqref>
        </x14:dataValidation>
        <x14:dataValidation type="list" allowBlank="1" xr:uid="{00000000-0002-0000-13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9">
    <tabColor rgb="FF92D050"/>
    <pageSetUpPr fitToPage="1"/>
  </sheetPr>
  <dimension ref="B1:T53"/>
  <sheetViews>
    <sheetView view="pageBreakPreview" topLeftCell="A16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105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thickBot="1" x14ac:dyDescent="0.45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thickBot="1" x14ac:dyDescent="0.35">
      <c r="B14" s="116" t="s">
        <v>8</v>
      </c>
      <c r="C14" s="79"/>
      <c r="D14" s="162" t="s">
        <v>9</v>
      </c>
      <c r="E14" s="158"/>
      <c r="F14" s="158"/>
      <c r="G14" s="158"/>
      <c r="H14" s="165" t="s">
        <v>10</v>
      </c>
      <c r="I14" s="158"/>
      <c r="J14" s="158"/>
      <c r="K14" s="159"/>
      <c r="L14" s="57" t="s">
        <v>11</v>
      </c>
      <c r="M14" s="57" t="s">
        <v>12</v>
      </c>
      <c r="N14" s="157" t="s">
        <v>13</v>
      </c>
      <c r="O14" s="158"/>
      <c r="P14" s="158"/>
      <c r="Q14" s="159"/>
      <c r="R14" s="160" t="s">
        <v>14</v>
      </c>
      <c r="S14" s="161"/>
    </row>
    <row r="15" spans="2:20" ht="21" customHeight="1" x14ac:dyDescent="0.3">
      <c r="B15" s="92"/>
      <c r="C15" s="149"/>
      <c r="D15" s="163"/>
      <c r="E15" s="71"/>
      <c r="F15" s="71"/>
      <c r="G15" s="149"/>
      <c r="H15" s="143" t="s">
        <v>17</v>
      </c>
      <c r="I15" s="144"/>
      <c r="J15" s="144"/>
      <c r="K15" s="145"/>
      <c r="L15" s="45">
        <f t="array" ref="L15">INDEX(z_3_Materias!B2:B508, MATCH(H15, z_3_Materias!A2:A508, 0))</f>
        <v>0</v>
      </c>
      <c r="M15" s="46"/>
      <c r="N15" s="146">
        <f t="array" ref="N15">INDEX(z_3_Materias!D2:D508, MATCH(H15, z_3_Materias!A2:A508, 0))</f>
        <v>0</v>
      </c>
      <c r="O15" s="144"/>
      <c r="P15" s="144"/>
      <c r="Q15" s="145"/>
      <c r="R15" s="147">
        <f>SUM(N15:Q25)</f>
        <v>0</v>
      </c>
      <c r="S15" s="148"/>
      <c r="T15" s="13" t="str">
        <f t="shared" ref="T15:T25" si="0">H15&amp;" "&amp;M15</f>
        <v xml:space="preserve">  </v>
      </c>
    </row>
    <row r="16" spans="2:20" ht="21" customHeight="1" x14ac:dyDescent="0.3">
      <c r="B16" s="92"/>
      <c r="C16" s="149"/>
      <c r="D16" s="163"/>
      <c r="E16" s="71"/>
      <c r="F16" s="71"/>
      <c r="G16" s="149"/>
      <c r="H16" s="143" t="s">
        <v>17</v>
      </c>
      <c r="I16" s="144"/>
      <c r="J16" s="144"/>
      <c r="K16" s="145"/>
      <c r="L16" s="45">
        <f t="array" ref="L16">INDEX(z_3_Materias!B2:B508, MATCH(H16, z_3_Materias!A2:A508, 0))</f>
        <v>0</v>
      </c>
      <c r="M16" s="46"/>
      <c r="N16" s="146">
        <f t="array" ref="N16">INDEX(z_3_Materias!D2:D508, MATCH(H16, z_3_Materias!A2:A508, 0))</f>
        <v>0</v>
      </c>
      <c r="O16" s="144"/>
      <c r="P16" s="144"/>
      <c r="Q16" s="145"/>
      <c r="R16" s="149"/>
      <c r="S16" s="148"/>
      <c r="T16" s="13" t="str">
        <f t="shared" si="0"/>
        <v xml:space="preserve">  </v>
      </c>
    </row>
    <row r="17" spans="2:20" ht="21" customHeight="1" x14ac:dyDescent="0.3">
      <c r="B17" s="92"/>
      <c r="C17" s="149"/>
      <c r="D17" s="163"/>
      <c r="E17" s="71"/>
      <c r="F17" s="71"/>
      <c r="G17" s="149"/>
      <c r="H17" s="143" t="s">
        <v>17</v>
      </c>
      <c r="I17" s="144"/>
      <c r="J17" s="144"/>
      <c r="K17" s="145"/>
      <c r="L17" s="45">
        <f t="array" ref="L17">INDEX(z_3_Materias!B2:B508, MATCH(H17, z_3_Materias!A2:A508, 0))</f>
        <v>0</v>
      </c>
      <c r="M17" s="46"/>
      <c r="N17" s="146">
        <f t="array" ref="N17">INDEX(z_3_Materias!D2:D508, MATCH(H17, z_3_Materias!A2:A508, 0))</f>
        <v>0</v>
      </c>
      <c r="O17" s="144"/>
      <c r="P17" s="144"/>
      <c r="Q17" s="145"/>
      <c r="R17" s="149"/>
      <c r="S17" s="148"/>
      <c r="T17" s="13" t="str">
        <f t="shared" si="0"/>
        <v xml:space="preserve">  </v>
      </c>
    </row>
    <row r="18" spans="2:20" ht="21" customHeight="1" x14ac:dyDescent="0.3">
      <c r="B18" s="92"/>
      <c r="C18" s="149"/>
      <c r="D18" s="163"/>
      <c r="E18" s="71"/>
      <c r="F18" s="71"/>
      <c r="G18" s="149"/>
      <c r="H18" s="143" t="s">
        <v>17</v>
      </c>
      <c r="I18" s="144"/>
      <c r="J18" s="144"/>
      <c r="K18" s="145"/>
      <c r="L18" s="45">
        <f t="array" ref="L18">INDEX(z_3_Materias!B2:B508, MATCH(H18, z_3_Materias!A2:A508, 0))</f>
        <v>0</v>
      </c>
      <c r="M18" s="46"/>
      <c r="N18" s="146">
        <f t="array" ref="N18">INDEX(z_3_Materias!D2:D508, MATCH(H18, z_3_Materias!A2:A508, 0))</f>
        <v>0</v>
      </c>
      <c r="O18" s="144"/>
      <c r="P18" s="144"/>
      <c r="Q18" s="145"/>
      <c r="R18" s="149"/>
      <c r="S18" s="148"/>
      <c r="T18" s="13" t="str">
        <f t="shared" si="0"/>
        <v xml:space="preserve">  </v>
      </c>
    </row>
    <row r="19" spans="2:20" ht="21" customHeight="1" x14ac:dyDescent="0.3">
      <c r="B19" s="92"/>
      <c r="C19" s="149"/>
      <c r="D19" s="163"/>
      <c r="E19" s="71"/>
      <c r="F19" s="71"/>
      <c r="G19" s="149"/>
      <c r="H19" s="143" t="s">
        <v>17</v>
      </c>
      <c r="I19" s="144"/>
      <c r="J19" s="144"/>
      <c r="K19" s="145"/>
      <c r="L19" s="45">
        <f t="array" ref="L19">INDEX(z_3_Materias!B2:B508, MATCH(H19, z_3_Materias!A2:A508, 0))</f>
        <v>0</v>
      </c>
      <c r="M19" s="46"/>
      <c r="N19" s="146">
        <f t="array" ref="N19">INDEX(z_3_Materias!D2:D508, MATCH(H19, z_3_Materias!A2:A508, 0))</f>
        <v>0</v>
      </c>
      <c r="O19" s="144"/>
      <c r="P19" s="144"/>
      <c r="Q19" s="145"/>
      <c r="R19" s="149"/>
      <c r="S19" s="148"/>
      <c r="T19" s="13" t="str">
        <f t="shared" si="0"/>
        <v xml:space="preserve">  </v>
      </c>
    </row>
    <row r="20" spans="2:20" ht="21" customHeight="1" x14ac:dyDescent="0.3">
      <c r="B20" s="92"/>
      <c r="C20" s="149"/>
      <c r="D20" s="163"/>
      <c r="E20" s="71"/>
      <c r="F20" s="71"/>
      <c r="G20" s="149"/>
      <c r="H20" s="143" t="s">
        <v>17</v>
      </c>
      <c r="I20" s="144"/>
      <c r="J20" s="144"/>
      <c r="K20" s="145"/>
      <c r="L20" s="45">
        <f t="array" ref="L20">INDEX(z_3_Materias!B2:B508, MATCH(H20, z_3_Materias!A2:A508, 0))</f>
        <v>0</v>
      </c>
      <c r="M20" s="46"/>
      <c r="N20" s="146">
        <f t="array" ref="N20">INDEX(z_3_Materias!D2:D508, MATCH(H20, z_3_Materias!A2:A508, 0))</f>
        <v>0</v>
      </c>
      <c r="O20" s="144"/>
      <c r="P20" s="144"/>
      <c r="Q20" s="145"/>
      <c r="R20" s="149"/>
      <c r="S20" s="148"/>
      <c r="T20" s="13" t="str">
        <f t="shared" si="0"/>
        <v xml:space="preserve">  </v>
      </c>
    </row>
    <row r="21" spans="2:20" ht="21" customHeight="1" x14ac:dyDescent="0.3">
      <c r="B21" s="92"/>
      <c r="C21" s="149"/>
      <c r="D21" s="163"/>
      <c r="E21" s="71"/>
      <c r="F21" s="71"/>
      <c r="G21" s="149"/>
      <c r="H21" s="143" t="s">
        <v>17</v>
      </c>
      <c r="I21" s="144"/>
      <c r="J21" s="144"/>
      <c r="K21" s="145"/>
      <c r="L21" s="45">
        <f t="array" ref="L21">INDEX(z_3_Materias!B2:B508, MATCH(H21, z_3_Materias!A2:A508, 0))</f>
        <v>0</v>
      </c>
      <c r="M21" s="46"/>
      <c r="N21" s="146">
        <f t="array" ref="N21">INDEX(z_3_Materias!D2:D508, MATCH(H21, z_3_Materias!A2:A508, 0))</f>
        <v>0</v>
      </c>
      <c r="O21" s="144"/>
      <c r="P21" s="144"/>
      <c r="Q21" s="145"/>
      <c r="R21" s="149"/>
      <c r="S21" s="148"/>
      <c r="T21" s="13" t="str">
        <f t="shared" si="0"/>
        <v xml:space="preserve">  </v>
      </c>
    </row>
    <row r="22" spans="2:20" ht="21" customHeight="1" x14ac:dyDescent="0.3">
      <c r="B22" s="92"/>
      <c r="C22" s="149"/>
      <c r="D22" s="163"/>
      <c r="E22" s="71"/>
      <c r="F22" s="71"/>
      <c r="G22" s="149"/>
      <c r="H22" s="143" t="s">
        <v>17</v>
      </c>
      <c r="I22" s="144"/>
      <c r="J22" s="144"/>
      <c r="K22" s="145"/>
      <c r="L22" s="45">
        <f t="array" ref="L22">INDEX(z_3_Materias!B2:B508, MATCH(H22, z_3_Materias!A2:A508, 0))</f>
        <v>0</v>
      </c>
      <c r="M22" s="46"/>
      <c r="N22" s="146">
        <f t="array" ref="N22">INDEX(z_3_Materias!D2:D508, MATCH(H22, z_3_Materias!A2:A508, 0))</f>
        <v>0</v>
      </c>
      <c r="O22" s="144"/>
      <c r="P22" s="144"/>
      <c r="Q22" s="145"/>
      <c r="R22" s="149"/>
      <c r="S22" s="148"/>
      <c r="T22" s="13" t="str">
        <f t="shared" si="0"/>
        <v xml:space="preserve">  </v>
      </c>
    </row>
    <row r="23" spans="2:20" ht="21" customHeight="1" x14ac:dyDescent="0.3">
      <c r="B23" s="92"/>
      <c r="C23" s="149"/>
      <c r="D23" s="163"/>
      <c r="E23" s="71"/>
      <c r="F23" s="71"/>
      <c r="G23" s="149"/>
      <c r="H23" s="143" t="s">
        <v>17</v>
      </c>
      <c r="I23" s="144"/>
      <c r="J23" s="144"/>
      <c r="K23" s="145"/>
      <c r="L23" s="45">
        <f t="array" ref="L23">INDEX(z_3_Materias!B1:B507, MATCH(H23, z_3_Materias!A1:A507, 0))</f>
        <v>0</v>
      </c>
      <c r="M23" s="46"/>
      <c r="N23" s="146">
        <f t="array" ref="N23">INDEX(z_3_Materias!D1:D507, MATCH(H23, z_3_Materias!A1:A507, 0))</f>
        <v>0</v>
      </c>
      <c r="O23" s="144"/>
      <c r="P23" s="144"/>
      <c r="Q23" s="145"/>
      <c r="R23" s="149"/>
      <c r="S23" s="148"/>
      <c r="T23" s="13" t="str">
        <f t="shared" si="0"/>
        <v xml:space="preserve">  </v>
      </c>
    </row>
    <row r="24" spans="2:20" ht="21" customHeight="1" x14ac:dyDescent="0.3">
      <c r="B24" s="92"/>
      <c r="C24" s="149"/>
      <c r="D24" s="163"/>
      <c r="E24" s="71"/>
      <c r="F24" s="71"/>
      <c r="G24" s="149"/>
      <c r="H24" s="143" t="s">
        <v>17</v>
      </c>
      <c r="I24" s="144"/>
      <c r="J24" s="144"/>
      <c r="K24" s="145"/>
      <c r="L24" s="45">
        <f t="array" ref="L24">INDEX(z_3_Materias!B1:B507, MATCH(H24, z_3_Materias!A1:A507, 0))</f>
        <v>0</v>
      </c>
      <c r="M24" s="46"/>
      <c r="N24" s="146">
        <f t="array" ref="N24">INDEX(z_3_Materias!D1:D507, MATCH(H24, z_3_Materias!A1:A507, 0))</f>
        <v>0</v>
      </c>
      <c r="O24" s="144"/>
      <c r="P24" s="144"/>
      <c r="Q24" s="145"/>
      <c r="R24" s="149"/>
      <c r="S24" s="148"/>
      <c r="T24" s="13"/>
    </row>
    <row r="25" spans="2:20" ht="21" customHeight="1" thickBot="1" x14ac:dyDescent="0.35">
      <c r="B25" s="93"/>
      <c r="C25" s="76"/>
      <c r="D25" s="164"/>
      <c r="E25" s="150"/>
      <c r="F25" s="150"/>
      <c r="G25" s="150"/>
      <c r="H25" s="155" t="s">
        <v>17</v>
      </c>
      <c r="I25" s="153"/>
      <c r="J25" s="153"/>
      <c r="K25" s="154"/>
      <c r="L25" s="58">
        <f t="array" ref="L25">INDEX(z_3_Materias!B2:B508, MATCH(H25, z_3_Materias!A2:A508, 0))</f>
        <v>0</v>
      </c>
      <c r="M25" s="59"/>
      <c r="N25" s="152"/>
      <c r="O25" s="153"/>
      <c r="P25" s="153"/>
      <c r="Q25" s="154"/>
      <c r="R25" s="150"/>
      <c r="S25" s="151"/>
      <c r="T25" s="13" t="str">
        <f t="shared" si="0"/>
        <v xml:space="preserve">  </v>
      </c>
    </row>
    <row r="26" spans="2:20" ht="14.25" customHeight="1" x14ac:dyDescent="0.3">
      <c r="B26" s="8"/>
      <c r="C26" s="8"/>
      <c r="D26" s="8"/>
      <c r="E26" s="18"/>
      <c r="F26" s="18"/>
      <c r="G26" s="18"/>
      <c r="H26" s="18"/>
      <c r="I26" s="19"/>
      <c r="J26" s="19"/>
      <c r="K26" s="8"/>
      <c r="L26" s="20"/>
      <c r="M26" s="20"/>
      <c r="N26" s="8"/>
      <c r="O26" s="19"/>
      <c r="P26" s="19"/>
      <c r="Q26" s="19"/>
      <c r="R26" s="19"/>
      <c r="S26" s="8"/>
    </row>
    <row r="27" spans="2:20" ht="14.25" customHeight="1" x14ac:dyDescent="0.4">
      <c r="B27" s="75" t="s">
        <v>18</v>
      </c>
      <c r="C27" s="76"/>
      <c r="D27" s="76"/>
      <c r="E27" s="76"/>
      <c r="F27" s="76"/>
      <c r="G27" s="76"/>
      <c r="H27" s="20"/>
      <c r="I27" s="20"/>
      <c r="J27" s="20"/>
      <c r="K27" s="20"/>
      <c r="L27" s="77"/>
      <c r="M27" s="71"/>
      <c r="N27" s="20"/>
      <c r="O27" s="20"/>
      <c r="P27" s="20"/>
      <c r="Q27" s="20"/>
      <c r="R27" s="20"/>
      <c r="S27" s="20"/>
    </row>
    <row r="28" spans="2:20" ht="21.75" customHeight="1" x14ac:dyDescent="0.3">
      <c r="B28" s="78" t="s">
        <v>19</v>
      </c>
      <c r="C28" s="79"/>
      <c r="D28" s="79"/>
      <c r="E28" s="79"/>
      <c r="F28" s="79"/>
      <c r="G28" s="80"/>
      <c r="H28" s="81" t="s">
        <v>20</v>
      </c>
      <c r="I28" s="80"/>
      <c r="J28" s="78" t="s">
        <v>21</v>
      </c>
      <c r="K28" s="80"/>
      <c r="L28" s="82" t="s">
        <v>22</v>
      </c>
      <c r="M28" s="63"/>
      <c r="N28" s="78" t="s">
        <v>23</v>
      </c>
      <c r="O28" s="79"/>
      <c r="P28" s="78" t="s">
        <v>24</v>
      </c>
      <c r="Q28" s="80"/>
      <c r="R28" s="98" t="s">
        <v>25</v>
      </c>
      <c r="S28" s="63"/>
    </row>
    <row r="29" spans="2:20" ht="73.5" customHeight="1" thickBot="1" x14ac:dyDescent="0.35">
      <c r="B29" s="61" t="s">
        <v>26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thickBot="1" x14ac:dyDescent="0.35">
      <c r="B30" s="61" t="s">
        <v>27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68"/>
      <c r="Q30" s="63"/>
      <c r="R30" s="68"/>
      <c r="S30" s="63"/>
    </row>
    <row r="31" spans="2:20" ht="73.5" customHeight="1" thickBot="1" x14ac:dyDescent="0.35">
      <c r="B31" s="61" t="s">
        <v>28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4"/>
      <c r="Q31" s="65"/>
      <c r="R31" s="68"/>
      <c r="S31" s="63"/>
    </row>
    <row r="32" spans="2:20" ht="73.5" customHeight="1" x14ac:dyDescent="0.3">
      <c r="B32" s="61" t="s">
        <v>29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156"/>
      <c r="Q32" s="65"/>
      <c r="R32" s="68"/>
      <c r="S32" s="63"/>
    </row>
    <row r="33" spans="2:19" ht="73.5" customHeight="1" x14ac:dyDescent="0.3">
      <c r="B33" s="61" t="s">
        <v>30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4"/>
      <c r="Q33" s="65"/>
      <c r="R33" s="68"/>
      <c r="S33" s="63"/>
    </row>
    <row r="34" spans="2:19" ht="73.5" customHeight="1" x14ac:dyDescent="0.3">
      <c r="B34" s="61" t="s">
        <v>31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4"/>
      <c r="Q34" s="65"/>
      <c r="R34" s="68"/>
      <c r="S34" s="63"/>
    </row>
    <row r="35" spans="2:19" ht="73.5" customHeight="1" x14ac:dyDescent="0.3">
      <c r="B35" s="61" t="s">
        <v>32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4"/>
      <c r="Q35" s="65"/>
      <c r="R35" s="68"/>
      <c r="S35" s="63"/>
    </row>
    <row r="36" spans="2:19" ht="73.5" customHeight="1" x14ac:dyDescent="0.3">
      <c r="B36" s="61" t="s">
        <v>33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4"/>
      <c r="Q36" s="65"/>
      <c r="R36" s="68"/>
      <c r="S36" s="63"/>
    </row>
    <row r="37" spans="2:19" ht="73.5" customHeight="1" thickBot="1" x14ac:dyDescent="0.35">
      <c r="B37" s="61" t="s">
        <v>34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4"/>
      <c r="Q37" s="65"/>
      <c r="R37" s="68"/>
      <c r="S37" s="63"/>
    </row>
    <row r="38" spans="2:19" ht="73.5" customHeight="1" thickBot="1" x14ac:dyDescent="0.35">
      <c r="B38" s="61" t="s">
        <v>35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8"/>
      <c r="S38" s="63"/>
    </row>
    <row r="39" spans="2:19" ht="73.5" customHeight="1" thickBot="1" x14ac:dyDescent="0.35">
      <c r="B39" s="61" t="s">
        <v>36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4"/>
      <c r="Q39" s="65"/>
      <c r="R39" s="68"/>
      <c r="S39" s="63"/>
    </row>
    <row r="40" spans="2:19" ht="73.5" customHeight="1" thickBot="1" x14ac:dyDescent="0.35">
      <c r="B40" s="61" t="s">
        <v>37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4"/>
      <c r="Q40" s="65"/>
      <c r="R40" s="68"/>
      <c r="S40" s="63"/>
    </row>
    <row r="41" spans="2:19" ht="73.5" customHeight="1" thickBot="1" x14ac:dyDescent="0.35">
      <c r="B41" s="61" t="s">
        <v>38</v>
      </c>
      <c r="C41" s="62"/>
      <c r="D41" s="62"/>
      <c r="E41" s="62"/>
      <c r="F41" s="62"/>
      <c r="G41" s="63"/>
      <c r="H41" s="64"/>
      <c r="I41" s="65"/>
      <c r="J41" s="64"/>
      <c r="K41" s="65"/>
      <c r="L41" s="64"/>
      <c r="M41" s="65"/>
      <c r="N41" s="64"/>
      <c r="O41" s="65"/>
      <c r="P41" s="64"/>
      <c r="Q41" s="65"/>
      <c r="R41" s="68"/>
      <c r="S41" s="63"/>
    </row>
    <row r="42" spans="2:19" ht="73.5" customHeight="1" thickBot="1" x14ac:dyDescent="0.35">
      <c r="B42" s="61" t="s">
        <v>39</v>
      </c>
      <c r="C42" s="62"/>
      <c r="D42" s="62"/>
      <c r="E42" s="62"/>
      <c r="F42" s="62"/>
      <c r="G42" s="63"/>
      <c r="H42" s="64"/>
      <c r="I42" s="65"/>
      <c r="J42" s="64"/>
      <c r="K42" s="65"/>
      <c r="L42" s="64"/>
      <c r="M42" s="65"/>
      <c r="N42" s="64"/>
      <c r="O42" s="65"/>
      <c r="P42" s="64"/>
      <c r="Q42" s="65"/>
      <c r="R42" s="68"/>
      <c r="S42" s="63"/>
    </row>
    <row r="43" spans="2:19" ht="73.5" customHeight="1" thickBot="1" x14ac:dyDescent="0.35">
      <c r="B43" s="61" t="s">
        <v>40</v>
      </c>
      <c r="C43" s="62"/>
      <c r="D43" s="62"/>
      <c r="E43" s="62"/>
      <c r="F43" s="62"/>
      <c r="G43" s="63"/>
      <c r="H43" s="64"/>
      <c r="I43" s="65"/>
      <c r="J43" s="64"/>
      <c r="K43" s="65"/>
      <c r="L43" s="64"/>
      <c r="M43" s="65"/>
      <c r="N43" s="64"/>
      <c r="O43" s="65"/>
      <c r="P43" s="64"/>
      <c r="Q43" s="65"/>
      <c r="R43" s="68"/>
      <c r="S43" s="63"/>
    </row>
    <row r="44" spans="2:19" ht="15" customHeight="1" x14ac:dyDescent="0.3">
      <c r="B44" s="8"/>
      <c r="C44" s="8"/>
      <c r="D44" s="8"/>
      <c r="E44" s="18"/>
      <c r="F44" s="18"/>
      <c r="G44" s="21"/>
      <c r="H44" s="21"/>
      <c r="I44" s="19"/>
      <c r="J44" s="19"/>
      <c r="K44" s="19"/>
      <c r="L44" s="85"/>
      <c r="M44" s="71"/>
      <c r="N44" s="19"/>
      <c r="O44" s="19"/>
      <c r="P44" s="19"/>
      <c r="Q44" s="19"/>
      <c r="R44" s="19"/>
      <c r="S44" s="19"/>
    </row>
    <row r="45" spans="2:19" ht="7.5" customHeight="1" x14ac:dyDescent="0.3">
      <c r="B45" s="8"/>
      <c r="C45" s="8"/>
      <c r="D45" s="8"/>
      <c r="E45" s="18"/>
      <c r="F45" s="18"/>
      <c r="G45" s="21"/>
      <c r="H45" s="21"/>
      <c r="I45" s="19"/>
      <c r="J45" s="19"/>
      <c r="K45" s="19"/>
      <c r="L45" s="22"/>
      <c r="M45" s="22"/>
      <c r="N45" s="19"/>
      <c r="O45" s="19"/>
      <c r="P45" s="19"/>
      <c r="Q45" s="19"/>
      <c r="R45" s="19"/>
      <c r="S45" s="19"/>
    </row>
    <row r="46" spans="2:19" ht="14.25" customHeight="1" x14ac:dyDescent="0.35">
      <c r="C46" s="74"/>
      <c r="D46" s="71"/>
      <c r="E46" s="71"/>
      <c r="F46" s="71"/>
      <c r="G46" s="71"/>
      <c r="H46" s="71"/>
      <c r="I46" s="7"/>
      <c r="J46" s="7"/>
      <c r="K46" s="7"/>
      <c r="L46" s="7"/>
      <c r="M46" s="7"/>
      <c r="N46" s="74"/>
      <c r="O46" s="71"/>
      <c r="P46" s="71"/>
      <c r="Q46" s="71"/>
      <c r="R46" s="71"/>
      <c r="S46" s="23"/>
    </row>
    <row r="47" spans="2:19" ht="13.5" customHeight="1" x14ac:dyDescent="0.35">
      <c r="C47" s="7"/>
      <c r="D47" s="7"/>
      <c r="E47" s="7"/>
      <c r="F47" s="7"/>
      <c r="G47" s="24"/>
      <c r="H47" s="24"/>
      <c r="I47" s="7"/>
      <c r="J47" s="7"/>
      <c r="K47" s="7"/>
      <c r="L47" s="7"/>
      <c r="M47" s="7"/>
      <c r="N47" s="7"/>
      <c r="O47" s="7"/>
      <c r="P47" s="7"/>
      <c r="Q47" s="7"/>
      <c r="R47" s="7"/>
      <c r="S47" s="8"/>
    </row>
    <row r="48" spans="2:19" ht="21" customHeight="1" x14ac:dyDescent="0.35">
      <c r="C48" s="83" t="s">
        <v>41</v>
      </c>
      <c r="D48" s="84"/>
      <c r="E48" s="84"/>
      <c r="F48" s="84"/>
      <c r="G48" s="84"/>
      <c r="H48" s="84"/>
      <c r="I48" s="84"/>
      <c r="J48" s="7"/>
      <c r="K48" s="7"/>
      <c r="L48" s="7"/>
      <c r="M48" s="7"/>
      <c r="N48" s="83" t="str">
        <f>B10</f>
        <v>RAMOS GAMA JOSELYN KAREN</v>
      </c>
      <c r="O48" s="84"/>
      <c r="P48" s="84"/>
      <c r="Q48" s="84"/>
      <c r="R48" s="84"/>
      <c r="S48" s="25"/>
    </row>
    <row r="49" spans="3:19" ht="14.25" customHeight="1" x14ac:dyDescent="0.35">
      <c r="C49" s="70" t="s">
        <v>42</v>
      </c>
      <c r="D49" s="71"/>
      <c r="E49" s="71"/>
      <c r="F49" s="71"/>
      <c r="G49" s="71"/>
      <c r="H49" s="71"/>
      <c r="I49" s="71"/>
      <c r="J49" s="7"/>
      <c r="K49" s="7"/>
      <c r="L49" s="7"/>
      <c r="M49" s="7"/>
      <c r="N49" s="72" t="s">
        <v>43</v>
      </c>
      <c r="O49" s="73"/>
      <c r="P49" s="73"/>
      <c r="Q49" s="73"/>
      <c r="R49" s="73"/>
      <c r="S49" s="26"/>
    </row>
    <row r="50" spans="3:19" ht="14.25" customHeight="1" x14ac:dyDescent="0.35">
      <c r="C50" s="74"/>
      <c r="D50" s="71"/>
      <c r="E50" s="71"/>
      <c r="F50" s="71"/>
      <c r="G50" s="71"/>
      <c r="H50" s="71"/>
      <c r="I50" s="7"/>
      <c r="J50" s="28"/>
      <c r="K50" s="28"/>
      <c r="L50" s="28"/>
      <c r="M50" s="28"/>
      <c r="N50" s="71"/>
      <c r="O50" s="71"/>
      <c r="P50" s="71"/>
      <c r="Q50" s="71"/>
      <c r="R50" s="71"/>
    </row>
    <row r="51" spans="3:19" ht="14.25" customHeight="1" x14ac:dyDescent="0.35">
      <c r="C51" s="7"/>
      <c r="D51" s="7"/>
      <c r="E51" s="7"/>
      <c r="F51" s="7"/>
      <c r="G51" s="24"/>
      <c r="H51" s="24"/>
      <c r="I51" s="7"/>
      <c r="J51" s="28"/>
      <c r="K51" s="28"/>
      <c r="L51" s="28"/>
      <c r="M51" s="28"/>
      <c r="N51" s="28"/>
      <c r="O51" s="28"/>
      <c r="P51" s="28"/>
      <c r="Q51" s="28"/>
      <c r="R51" s="28"/>
    </row>
    <row r="52" spans="3:19" ht="14.25" customHeight="1" x14ac:dyDescent="0.35">
      <c r="C52" s="83" t="s">
        <v>562</v>
      </c>
      <c r="D52" s="84"/>
      <c r="E52" s="84"/>
      <c r="F52" s="84"/>
      <c r="G52" s="84"/>
      <c r="H52" s="84"/>
      <c r="I52" s="84"/>
      <c r="J52" s="28"/>
      <c r="K52" s="28"/>
      <c r="L52" s="28"/>
      <c r="M52" s="28"/>
      <c r="N52" s="28"/>
      <c r="O52" s="28"/>
      <c r="P52" s="28"/>
      <c r="Q52" s="28"/>
      <c r="R52" s="28"/>
    </row>
    <row r="53" spans="3:19" ht="14.25" customHeight="1" x14ac:dyDescent="0.35">
      <c r="C53" s="70" t="s">
        <v>561</v>
      </c>
      <c r="D53" s="71"/>
      <c r="E53" s="71"/>
      <c r="F53" s="71"/>
      <c r="G53" s="71"/>
      <c r="H53" s="71"/>
      <c r="I53" s="71"/>
      <c r="J53" s="28"/>
      <c r="K53" s="28"/>
      <c r="L53" s="28"/>
      <c r="M53" s="28"/>
      <c r="N53" s="28"/>
      <c r="O53" s="28"/>
      <c r="P53" s="28"/>
      <c r="Q53" s="28"/>
      <c r="R53" s="28"/>
    </row>
  </sheetData>
  <mergeCells count="167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5"/>
    <mergeCell ref="D14:G25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6:R46"/>
    <mergeCell ref="R32:S32"/>
    <mergeCell ref="N33:O33"/>
    <mergeCell ref="P33:Q33"/>
    <mergeCell ref="R33:S33"/>
    <mergeCell ref="N34:O34"/>
    <mergeCell ref="P34:Q34"/>
    <mergeCell ref="R34:S34"/>
    <mergeCell ref="L35:M35"/>
    <mergeCell ref="N35:O35"/>
    <mergeCell ref="P35:Q35"/>
    <mergeCell ref="R35:S35"/>
    <mergeCell ref="H23:K23"/>
    <mergeCell ref="N23:Q23"/>
    <mergeCell ref="H24:K24"/>
    <mergeCell ref="N24:Q24"/>
    <mergeCell ref="N48:R48"/>
    <mergeCell ref="J43:K43"/>
    <mergeCell ref="L43:M43"/>
    <mergeCell ref="N43:O43"/>
    <mergeCell ref="P43:Q43"/>
    <mergeCell ref="R43:S43"/>
    <mergeCell ref="L44:M44"/>
    <mergeCell ref="H43:I43"/>
    <mergeCell ref="H21:K21"/>
    <mergeCell ref="H22:K22"/>
    <mergeCell ref="N21:Q21"/>
    <mergeCell ref="N22:Q22"/>
    <mergeCell ref="R15:S25"/>
    <mergeCell ref="N25:Q25"/>
    <mergeCell ref="N28:O28"/>
    <mergeCell ref="P28:Q28"/>
    <mergeCell ref="R28:S28"/>
    <mergeCell ref="H25:K25"/>
    <mergeCell ref="C46:H46"/>
    <mergeCell ref="C48:I48"/>
    <mergeCell ref="P31:Q31"/>
    <mergeCell ref="R31:S31"/>
    <mergeCell ref="N32:O32"/>
    <mergeCell ref="P32:Q32"/>
    <mergeCell ref="B27:G27"/>
    <mergeCell ref="L27:M27"/>
    <mergeCell ref="B28:G28"/>
    <mergeCell ref="H28:I28"/>
    <mergeCell ref="J28:K28"/>
    <mergeCell ref="L28:M28"/>
    <mergeCell ref="B43:G43"/>
    <mergeCell ref="H41:I41"/>
    <mergeCell ref="H42:I42"/>
    <mergeCell ref="B32:G32"/>
    <mergeCell ref="H32:I32"/>
    <mergeCell ref="J32:K32"/>
    <mergeCell ref="L32:M32"/>
    <mergeCell ref="B33:G33"/>
    <mergeCell ref="H33:I33"/>
    <mergeCell ref="J33:K33"/>
    <mergeCell ref="L33:M33"/>
    <mergeCell ref="B34:G34"/>
    <mergeCell ref="H34:I34"/>
    <mergeCell ref="J34:K34"/>
    <mergeCell ref="L34:M34"/>
    <mergeCell ref="B35:G35"/>
    <mergeCell ref="H35:I35"/>
    <mergeCell ref="J35:K35"/>
    <mergeCell ref="C49:I49"/>
    <mergeCell ref="N49:R50"/>
    <mergeCell ref="C50:H50"/>
    <mergeCell ref="C52:I52"/>
    <mergeCell ref="C53:I53"/>
    <mergeCell ref="B29:G29"/>
    <mergeCell ref="H29:I29"/>
    <mergeCell ref="J29:K29"/>
    <mergeCell ref="L29:M29"/>
    <mergeCell ref="N29:O29"/>
    <mergeCell ref="P29:Q29"/>
    <mergeCell ref="R29:S29"/>
    <mergeCell ref="B30:G30"/>
    <mergeCell ref="H30:I30"/>
    <mergeCell ref="J30:K30"/>
    <mergeCell ref="L30:M30"/>
    <mergeCell ref="N30:O30"/>
    <mergeCell ref="P30:Q30"/>
    <mergeCell ref="R30:S30"/>
    <mergeCell ref="B31:G31"/>
    <mergeCell ref="H31:I31"/>
    <mergeCell ref="J31:K31"/>
    <mergeCell ref="L31:M31"/>
    <mergeCell ref="N31:O31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  <mergeCell ref="B42:G42"/>
    <mergeCell ref="J42:K42"/>
    <mergeCell ref="L42:M42"/>
    <mergeCell ref="N42:O42"/>
    <mergeCell ref="P42:Q42"/>
    <mergeCell ref="R42:S42"/>
    <mergeCell ref="B40:G40"/>
    <mergeCell ref="H40:I40"/>
    <mergeCell ref="J40:K40"/>
    <mergeCell ref="L40:M40"/>
    <mergeCell ref="N40:O40"/>
    <mergeCell ref="P40:Q40"/>
    <mergeCell ref="R40:S40"/>
    <mergeCell ref="B41:G41"/>
    <mergeCell ref="J41:K41"/>
    <mergeCell ref="L41:M41"/>
    <mergeCell ref="N41:O41"/>
    <mergeCell ref="P41:Q41"/>
    <mergeCell ref="R41:S41"/>
  </mergeCells>
  <conditionalFormatting sqref="L15:L25 N15:N25">
    <cfRule type="cellIs" dxfId="26" priority="2" operator="equal">
      <formula>0</formula>
    </cfRule>
  </conditionalFormatting>
  <dataValidations count="1">
    <dataValidation type="list" allowBlank="1" sqref="H29:S43" xr:uid="{00000000-0002-0000-1400-000000000000}">
      <formula1>$T$15:$T$25</formula1>
    </dataValidation>
  </dataValidations>
  <printOptions horizontalCentered="1"/>
  <pageMargins left="0.25" right="0.25" top="0.75" bottom="0.75" header="0" footer="0"/>
  <pageSetup scale="3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400-000001000000}">
          <x14:formula1>
            <xm:f>z_2_Maestros!$B$2:$B$304</xm:f>
          </x14:formula1>
          <xm:sqref>B10</xm:sqref>
        </x14:dataValidation>
        <x14:dataValidation type="list" allowBlank="1" xr:uid="{00000000-0002-0000-1400-000002000000}">
          <x14:formula1>
            <xm:f>z_3_Materias!$A$2:$A$508</xm:f>
          </x14:formula1>
          <xm:sqref>H15:H25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0">
    <tabColor rgb="FF92D050"/>
    <pageSetUpPr fitToPage="1"/>
  </sheetPr>
  <dimension ref="B1:T52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2" width="17.44140625" customWidth="1"/>
    <col min="13" max="13" width="22.88671875" customWidth="1"/>
    <col min="14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109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/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/>
      <c r="M18" s="15"/>
      <c r="N18" s="89"/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/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8"/>
      <c r="K29" s="63"/>
      <c r="L29" s="64"/>
      <c r="M29" s="65"/>
      <c r="N29" s="68"/>
      <c r="O29" s="63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8"/>
      <c r="K30" s="63"/>
      <c r="L30" s="64"/>
      <c r="M30" s="65"/>
      <c r="N30" s="68"/>
      <c r="O30" s="63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171"/>
      <c r="I31" s="65"/>
      <c r="J31" s="169"/>
      <c r="K31" s="63"/>
      <c r="L31" s="64"/>
      <c r="M31" s="65"/>
      <c r="N31" s="68"/>
      <c r="O31" s="63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171"/>
      <c r="I32" s="65"/>
      <c r="J32" s="169"/>
      <c r="K32" s="63"/>
      <c r="L32" s="64"/>
      <c r="M32" s="65"/>
      <c r="N32" s="68"/>
      <c r="O32" s="63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171"/>
      <c r="I33" s="65"/>
      <c r="J33" s="169"/>
      <c r="K33" s="63"/>
      <c r="L33" s="64"/>
      <c r="M33" s="65"/>
      <c r="N33" s="68"/>
      <c r="O33" s="63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169"/>
      <c r="K34" s="63"/>
      <c r="L34" s="64"/>
      <c r="M34" s="65"/>
      <c r="N34" s="68"/>
      <c r="O34" s="63"/>
      <c r="P34" s="64"/>
      <c r="Q34" s="126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168"/>
      <c r="J35" s="169"/>
      <c r="K35" s="63"/>
      <c r="L35" s="64"/>
      <c r="M35" s="168"/>
      <c r="N35" s="68"/>
      <c r="O35" s="63"/>
      <c r="P35" s="64"/>
      <c r="Q35" s="126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168"/>
      <c r="J36" s="68"/>
      <c r="K36" s="170"/>
      <c r="L36" s="171"/>
      <c r="M36" s="65"/>
      <c r="N36" s="68"/>
      <c r="O36" s="63"/>
      <c r="P36" s="64"/>
      <c r="Q36" s="168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8"/>
      <c r="K37" s="63"/>
      <c r="L37" s="64"/>
      <c r="M37" s="126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135"/>
      <c r="L38" s="68"/>
      <c r="M38" s="135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135"/>
      <c r="L39" s="68"/>
      <c r="M39" s="135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135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RODRIGUEZ RIVERA NAYELI BERENICE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49" spans="3:9" ht="14.25" customHeight="1" x14ac:dyDescent="0.3">
      <c r="C49" s="70"/>
      <c r="D49" s="71"/>
      <c r="E49" s="71"/>
      <c r="F49" s="71"/>
      <c r="G49" s="71"/>
      <c r="H49" s="71"/>
      <c r="I49" s="71"/>
    </row>
    <row r="50" spans="3:9" ht="14.25" customHeight="1" x14ac:dyDescent="0.3">
      <c r="C50" s="166" t="s">
        <v>560</v>
      </c>
      <c r="D50" s="167"/>
      <c r="E50" s="167"/>
      <c r="F50" s="167"/>
      <c r="G50" s="167"/>
      <c r="H50" s="167"/>
      <c r="I50" s="167"/>
    </row>
    <row r="51" spans="3:9" ht="14.25" customHeight="1" x14ac:dyDescent="0.3">
      <c r="C51" s="70" t="s">
        <v>561</v>
      </c>
      <c r="D51" s="71"/>
      <c r="E51" s="71"/>
      <c r="F51" s="71"/>
      <c r="G51" s="71"/>
      <c r="H51" s="71"/>
      <c r="I51" s="71"/>
    </row>
    <row r="52" spans="3:9" ht="15" customHeight="1" x14ac:dyDescent="0.3">
      <c r="C52" s="70"/>
      <c r="D52" s="71"/>
      <c r="E52" s="71"/>
      <c r="F52" s="71"/>
      <c r="G52" s="71"/>
      <c r="H52" s="71"/>
      <c r="I52" s="71"/>
    </row>
  </sheetData>
  <mergeCells count="165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N32:O32"/>
    <mergeCell ref="P32:Q32"/>
    <mergeCell ref="R32:S32"/>
    <mergeCell ref="N28:O28"/>
    <mergeCell ref="P28:Q28"/>
    <mergeCell ref="R28:S28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N30:O30"/>
    <mergeCell ref="P30:Q30"/>
    <mergeCell ref="R30:S30"/>
    <mergeCell ref="N31:O31"/>
    <mergeCell ref="P31:Q31"/>
    <mergeCell ref="R31:S31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29:G29"/>
    <mergeCell ref="H29:I29"/>
    <mergeCell ref="J29:K29"/>
    <mergeCell ref="L29:M29"/>
    <mergeCell ref="N29:O29"/>
    <mergeCell ref="P29:Q29"/>
    <mergeCell ref="R29:S29"/>
    <mergeCell ref="B25:G25"/>
    <mergeCell ref="L25:M25"/>
    <mergeCell ref="B26:G26"/>
    <mergeCell ref="H26:I26"/>
    <mergeCell ref="J26:K26"/>
    <mergeCell ref="L26:M26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B33:G33"/>
    <mergeCell ref="H33:I33"/>
    <mergeCell ref="J33:K33"/>
    <mergeCell ref="L33:M33"/>
    <mergeCell ref="N33:O33"/>
    <mergeCell ref="P33:Q33"/>
    <mergeCell ref="R33:S33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38:G38"/>
    <mergeCell ref="H38:I38"/>
    <mergeCell ref="J38:K38"/>
    <mergeCell ref="L38:M38"/>
    <mergeCell ref="N38:O38"/>
    <mergeCell ref="P38:Q38"/>
    <mergeCell ref="R38:S38"/>
    <mergeCell ref="C52:I52"/>
    <mergeCell ref="B39:G39"/>
    <mergeCell ref="H39:I39"/>
    <mergeCell ref="J39:K39"/>
    <mergeCell ref="L39:M39"/>
    <mergeCell ref="N39:O39"/>
    <mergeCell ref="P39:Q39"/>
    <mergeCell ref="R39:S39"/>
    <mergeCell ref="B40:G40"/>
    <mergeCell ref="H40:I40"/>
    <mergeCell ref="J40:K40"/>
    <mergeCell ref="L40:M40"/>
    <mergeCell ref="N40:O40"/>
    <mergeCell ref="P40:Q40"/>
    <mergeCell ref="R40:S40"/>
    <mergeCell ref="N47:R48"/>
    <mergeCell ref="C48:H48"/>
    <mergeCell ref="C49:I49"/>
    <mergeCell ref="C50:I50"/>
    <mergeCell ref="C51:I51"/>
    <mergeCell ref="B41:G41"/>
    <mergeCell ref="C44:H44"/>
    <mergeCell ref="C46:I46"/>
    <mergeCell ref="C47:I47"/>
  </mergeCells>
  <conditionalFormatting sqref="L15:L23">
    <cfRule type="cellIs" dxfId="25" priority="1" operator="equal">
      <formula>0</formula>
    </cfRule>
  </conditionalFormatting>
  <conditionalFormatting sqref="N15:N23">
    <cfRule type="cellIs" dxfId="24" priority="2" operator="equal">
      <formula>0</formula>
    </cfRule>
  </conditionalFormatting>
  <dataValidations count="1">
    <dataValidation type="list" allowBlank="1" sqref="H27:H41 L27:L41 R27:R41 N27:N41 J27:J41 P27:P41" xr:uid="{00000000-0002-0000-15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500-000001000000}">
          <x14:formula1>
            <xm:f>z_2_Maestros!$B$2:$B$304</xm:f>
          </x14:formula1>
          <xm:sqref>B10</xm:sqref>
        </x14:dataValidation>
        <x14:dataValidation type="list" allowBlank="1" xr:uid="{00000000-0002-0000-15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tabColor rgb="FF92D050"/>
    <pageSetUpPr fitToPage="1"/>
  </sheetPr>
  <dimension ref="A1:T51"/>
  <sheetViews>
    <sheetView view="pageBreakPreview" topLeftCell="A18" zoomScale="60" zoomScaleNormal="3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1:20" ht="20.25" customHeight="1" x14ac:dyDescent="0.4">
      <c r="A1" s="1"/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1:20" ht="20.25" customHeight="1" x14ac:dyDescent="0.4">
      <c r="A2" s="1"/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1:20" ht="20.25" customHeight="1" x14ac:dyDescent="0.4">
      <c r="A3" s="1"/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1:20" ht="20.25" customHeight="1" x14ac:dyDescent="0.3">
      <c r="A4" s="1"/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1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1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1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1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0" ht="20.25" customHeight="1" x14ac:dyDescent="0.3">
      <c r="B10" s="111" t="s">
        <v>112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1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1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1:20" ht="21" customHeight="1" x14ac:dyDescent="0.3">
      <c r="B15" s="92"/>
      <c r="C15" s="91"/>
      <c r="D15" s="92"/>
      <c r="E15" s="71"/>
      <c r="F15" s="71"/>
      <c r="G15" s="119"/>
      <c r="H15" s="107" t="s">
        <v>576</v>
      </c>
      <c r="I15" s="84"/>
      <c r="J15" s="84"/>
      <c r="K15" s="108"/>
      <c r="L15" s="11" t="str">
        <f t="array" ref="L15">INDEX(z_3_Materias!B2:B508, MATCH(H15, z_3_Materias!A2:A508, 0))</f>
        <v>24CD018</v>
      </c>
      <c r="M15" s="12" t="s">
        <v>614</v>
      </c>
      <c r="N15" s="109">
        <f t="array" ref="N15">INDEX(z_3_Materias!D2:D508, MATCH(H15, z_3_Materias!A2:A508, 0))</f>
        <v>6</v>
      </c>
      <c r="O15" s="84"/>
      <c r="P15" s="84"/>
      <c r="Q15" s="108"/>
      <c r="R15" s="90">
        <f>SUM(N15:Q23)</f>
        <v>16</v>
      </c>
      <c r="S15" s="91"/>
      <c r="T15" s="13" t="str">
        <f t="shared" ref="T15:T23" si="0">H15&amp;" "&amp;M15</f>
        <v>Estructura de Datos* CD301</v>
      </c>
    </row>
    <row r="16" spans="1:20" ht="21" customHeight="1" x14ac:dyDescent="0.3">
      <c r="B16" s="92"/>
      <c r="C16" s="91"/>
      <c r="D16" s="92"/>
      <c r="E16" s="71"/>
      <c r="F16" s="71"/>
      <c r="G16" s="119"/>
      <c r="H16" s="86" t="s">
        <v>609</v>
      </c>
      <c r="I16" s="87"/>
      <c r="J16" s="87"/>
      <c r="K16" s="88"/>
      <c r="L16" s="14" t="str">
        <f t="array" ref="L16">INDEX(z_3_Materias!B2:B508, MATCH(H16, z_3_Materias!A2:A508, 0))</f>
        <v>24IRD019</v>
      </c>
      <c r="M16" s="15" t="s">
        <v>615</v>
      </c>
      <c r="N16" s="89">
        <f t="array" ref="N16">INDEX(z_3_Materias!D2:D508, MATCH(H16, z_3_Materias!A2:A508, 0))</f>
        <v>5</v>
      </c>
      <c r="O16" s="87"/>
      <c r="P16" s="87"/>
      <c r="Q16" s="88"/>
      <c r="R16" s="92"/>
      <c r="S16" s="91"/>
      <c r="T16" s="13" t="str">
        <f t="shared" si="0"/>
        <v>Bases de Datos_ IRD301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609</v>
      </c>
      <c r="I17" s="87"/>
      <c r="J17" s="87"/>
      <c r="K17" s="88"/>
      <c r="L17" s="14" t="str">
        <f t="array" ref="L17">INDEX(z_3_Materias!B2:B508, MATCH(H17, z_3_Materias!A2:A508, 0))</f>
        <v>24IRD019</v>
      </c>
      <c r="M17" s="15" t="s">
        <v>616</v>
      </c>
      <c r="N17" s="89">
        <f t="array" ref="N17">INDEX(z_3_Materias!D2:D508, MATCH(H17, z_3_Materias!A2:A508, 0))</f>
        <v>5</v>
      </c>
      <c r="O17" s="87"/>
      <c r="P17" s="87"/>
      <c r="Q17" s="88"/>
      <c r="R17" s="92"/>
      <c r="S17" s="91"/>
      <c r="T17" s="13" t="str">
        <f t="shared" si="0"/>
        <v>Bases de Datos_ IRD302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4"/>
      <c r="I27" s="65"/>
      <c r="J27" s="64"/>
      <c r="K27" s="65"/>
      <c r="L27" s="64"/>
      <c r="M27" s="65"/>
      <c r="N27" s="64"/>
      <c r="O27" s="65"/>
      <c r="P27" s="64"/>
      <c r="Q27" s="65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172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RODRIGUEZ SANCHEZ LUIS FERNANDO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49" spans="2:19" ht="14.25" customHeight="1" x14ac:dyDescent="0.35">
      <c r="B49" s="27"/>
      <c r="C49" s="7"/>
      <c r="D49" s="7"/>
      <c r="E49" s="7"/>
      <c r="F49" s="7"/>
      <c r="G49" s="24"/>
      <c r="H49" s="24"/>
      <c r="I49" s="7"/>
      <c r="J49" s="28"/>
      <c r="K49" s="28"/>
      <c r="L49" s="28"/>
      <c r="M49" s="28"/>
      <c r="N49" s="28"/>
      <c r="O49" s="28"/>
      <c r="P49" s="28"/>
      <c r="Q49" s="28"/>
      <c r="R49" s="28"/>
      <c r="S49" s="27"/>
    </row>
    <row r="50" spans="2:19" ht="14.25" customHeight="1" x14ac:dyDescent="0.35">
      <c r="B50" s="27"/>
      <c r="C50" s="70"/>
      <c r="D50" s="71"/>
      <c r="E50" s="71"/>
      <c r="F50" s="71"/>
      <c r="G50" s="71"/>
      <c r="H50" s="71"/>
      <c r="I50" s="71"/>
      <c r="J50" s="28"/>
      <c r="K50" s="28"/>
      <c r="L50" s="28"/>
      <c r="M50" s="28"/>
      <c r="N50" s="28"/>
      <c r="O50" s="28"/>
      <c r="P50" s="28"/>
      <c r="Q50" s="28"/>
      <c r="R50" s="28"/>
      <c r="S50" s="27"/>
    </row>
    <row r="51" spans="2:19" ht="14.25" customHeight="1" x14ac:dyDescent="0.35">
      <c r="B51" s="27"/>
      <c r="C51" s="70"/>
      <c r="D51" s="71"/>
      <c r="E51" s="71"/>
      <c r="F51" s="71"/>
      <c r="G51" s="71"/>
      <c r="H51" s="71"/>
      <c r="I51" s="71"/>
      <c r="J51" s="28"/>
      <c r="K51" s="28"/>
      <c r="L51" s="28"/>
      <c r="M51" s="28"/>
      <c r="N51" s="28"/>
      <c r="O51" s="28"/>
      <c r="P51" s="28"/>
      <c r="Q51" s="28"/>
      <c r="R51" s="28"/>
      <c r="S51" s="27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23" priority="1" operator="equal">
      <formula>0</formula>
    </cfRule>
  </conditionalFormatting>
  <conditionalFormatting sqref="N15:N23">
    <cfRule type="cellIs" dxfId="22" priority="2" operator="equal">
      <formula>0</formula>
    </cfRule>
  </conditionalFormatting>
  <dataValidations count="1">
    <dataValidation type="list" allowBlank="1" sqref="H27:H41 R27:R41 L27:L41 J27:J41 P27:P41 N27:N41" xr:uid="{00000000-0002-0000-1600-000000000000}">
      <formula1>$T$15:$T$23</formula1>
    </dataValidation>
  </dataValidations>
  <printOptions horizontalCentered="1"/>
  <pageMargins left="0.25" right="0.25" top="0.75" bottom="0.75" header="0" footer="0"/>
  <pageSetup paperSize="9"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600-000001000000}">
          <x14:formula1>
            <xm:f>z_2_Maestros!$B$2:$B$304</xm:f>
          </x14:formula1>
          <xm:sqref>B10</xm:sqref>
        </x14:dataValidation>
        <x14:dataValidation type="list" allowBlank="1" xr:uid="{00000000-0002-0000-16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tabColor rgb="FF92D050"/>
    <pageSetUpPr fitToPage="1"/>
  </sheetPr>
  <dimension ref="B1:T51"/>
  <sheetViews>
    <sheetView view="pageBreakPreview" topLeftCell="A17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114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10" t="s">
        <v>11</v>
      </c>
      <c r="M14" s="10" t="s">
        <v>12</v>
      </c>
      <c r="N14" s="113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53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73.5" customHeight="1" x14ac:dyDescent="0.3">
      <c r="B26" s="78" t="s">
        <v>19</v>
      </c>
      <c r="C26" s="79"/>
      <c r="D26" s="79"/>
      <c r="E26" s="79"/>
      <c r="F26" s="79"/>
      <c r="G26" s="80"/>
      <c r="H26" s="173" t="s">
        <v>20</v>
      </c>
      <c r="I26" s="80"/>
      <c r="J26" s="174" t="s">
        <v>21</v>
      </c>
      <c r="K26" s="80"/>
      <c r="L26" s="175" t="s">
        <v>22</v>
      </c>
      <c r="M26" s="63"/>
      <c r="N26" s="174" t="s">
        <v>23</v>
      </c>
      <c r="O26" s="79"/>
      <c r="P26" s="174" t="s">
        <v>24</v>
      </c>
      <c r="Q26" s="80"/>
      <c r="R26" s="6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131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4"/>
      <c r="Q40" s="65"/>
      <c r="R40" s="68"/>
      <c r="S40" s="63"/>
    </row>
    <row r="41" spans="2:19" ht="54.7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ROJAS DIEGO RAUL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21" priority="1" operator="equal">
      <formula>0</formula>
    </cfRule>
  </conditionalFormatting>
  <conditionalFormatting sqref="N15:N23">
    <cfRule type="cellIs" dxfId="20" priority="2" operator="equal">
      <formula>0</formula>
    </cfRule>
  </conditionalFormatting>
  <dataValidations count="1">
    <dataValidation type="list" allowBlank="1" sqref="H27:H41 R27:R41 L27:L41 N27:N41 P27:P41 J27:J41" xr:uid="{00000000-0002-0000-1700-000000000000}">
      <formula1>$T$15:$T$23</formula1>
    </dataValidation>
  </dataValidations>
  <printOptions horizontalCentered="1"/>
  <pageMargins left="0.25" right="0.25" top="0.75" bottom="0.75" header="0" footer="0"/>
  <pageSetup scale="3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700-000001000000}">
          <x14:formula1>
            <xm:f>z_2_Maestros!$B$2:$B$304</xm:f>
          </x14:formula1>
          <xm:sqref>B10</xm:sqref>
        </x14:dataValidation>
        <x14:dataValidation type="list" allowBlank="1" xr:uid="{00000000-0002-0000-17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117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67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107" t="s">
        <v>17</v>
      </c>
      <c r="I16" s="84"/>
      <c r="J16" s="84"/>
      <c r="K16" s="108"/>
      <c r="L16" s="14">
        <f t="array" ref="L16">INDEX(z_3_Materias!B2:B508, MATCH(H16, z_3_Materias!A2:A508, 0))</f>
        <v>0</v>
      </c>
      <c r="M16" s="12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4"/>
      <c r="O28" s="65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4"/>
      <c r="K29" s="65"/>
      <c r="L29" s="68"/>
      <c r="M29" s="63"/>
      <c r="N29" s="64"/>
      <c r="O29" s="65"/>
      <c r="P29" s="68"/>
      <c r="Q29" s="63"/>
      <c r="R29" s="68"/>
      <c r="S29" s="63"/>
    </row>
    <row r="30" spans="2:20" ht="73.5" customHeight="1" thickBot="1" x14ac:dyDescent="0.35">
      <c r="B30" s="61" t="s">
        <v>29</v>
      </c>
      <c r="C30" s="62"/>
      <c r="D30" s="62"/>
      <c r="E30" s="62"/>
      <c r="F30" s="62"/>
      <c r="G30" s="63"/>
      <c r="H30" s="68"/>
      <c r="I30" s="63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thickBot="1" x14ac:dyDescent="0.35">
      <c r="B31" s="61" t="s">
        <v>30</v>
      </c>
      <c r="C31" s="62"/>
      <c r="D31" s="62"/>
      <c r="E31" s="62"/>
      <c r="F31" s="62"/>
      <c r="G31" s="63"/>
      <c r="H31" s="68"/>
      <c r="I31" s="63"/>
      <c r="J31" s="64"/>
      <c r="K31" s="65"/>
      <c r="L31" s="64"/>
      <c r="M31" s="65"/>
      <c r="N31" s="64"/>
      <c r="O31" s="65"/>
      <c r="P31" s="64"/>
      <c r="Q31" s="126"/>
      <c r="R31" s="68"/>
      <c r="S31" s="63"/>
    </row>
    <row r="32" spans="2:20" ht="73.5" customHeight="1" thickBot="1" x14ac:dyDescent="0.35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thickBot="1" x14ac:dyDescent="0.35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126"/>
      <c r="L33" s="64"/>
      <c r="M33" s="126"/>
      <c r="N33" s="64"/>
      <c r="O33" s="65"/>
      <c r="P33" s="64"/>
      <c r="Q33" s="65"/>
      <c r="R33" s="68"/>
      <c r="S33" s="63"/>
    </row>
    <row r="34" spans="2:19" ht="73.5" customHeight="1" thickBot="1" x14ac:dyDescent="0.35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ROSAS DUARTE ROSA RUTH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19" priority="1" operator="equal">
      <formula>0</formula>
    </cfRule>
  </conditionalFormatting>
  <conditionalFormatting sqref="N15:N23">
    <cfRule type="cellIs" dxfId="18" priority="2" operator="equal">
      <formula>0</formula>
    </cfRule>
  </conditionalFormatting>
  <dataValidations count="1">
    <dataValidation type="list" allowBlank="1" sqref="H27:H41 R27:R41 P27:P41 N27:N41 J27:J41 L27:L41" xr:uid="{00000000-0002-0000-18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800-000001000000}">
          <x14:formula1>
            <xm:f>z_2_Maestros!$B$2:$B$304</xm:f>
          </x14:formula1>
          <xm:sqref>B10</xm:sqref>
        </x14:dataValidation>
        <x14:dataValidation type="list" allowBlank="1" xr:uid="{00000000-0002-0000-18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5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119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2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SERRANO SILVA IVAN ENRIQUE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17" priority="1" operator="equal">
      <formula>0</formula>
    </cfRule>
  </conditionalFormatting>
  <conditionalFormatting sqref="N15:N23">
    <cfRule type="cellIs" dxfId="16" priority="2" operator="equal">
      <formula>0</formula>
    </cfRule>
  </conditionalFormatting>
  <dataValidations count="1">
    <dataValidation type="list" allowBlank="1" sqref="H27:H41 R27:R41 L27:L41 N27:N41 J27:J41 P27:P41" xr:uid="{00000000-0002-0000-19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900-000001000000}">
          <x14:formula1>
            <xm:f>z_2_Maestros!$B$2:$B$304</xm:f>
          </x14:formula1>
          <xm:sqref>B10</xm:sqref>
        </x14:dataValidation>
        <x14:dataValidation type="list" allowBlank="1" xr:uid="{00000000-0002-0000-19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>
    <tabColor rgb="FF92D050"/>
    <pageSetUpPr fitToPage="1"/>
  </sheetPr>
  <dimension ref="B1:T51"/>
  <sheetViews>
    <sheetView view="pageBreakPreview" topLeftCell="A17" zoomScale="60" zoomScaleNormal="4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121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14.25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39"/>
      <c r="C24" s="39"/>
      <c r="D24" s="40"/>
      <c r="E24" s="40"/>
      <c r="F24" s="40"/>
      <c r="G24" s="40"/>
      <c r="H24" s="41"/>
      <c r="I24" s="41"/>
      <c r="J24" s="41"/>
      <c r="K24" s="41"/>
      <c r="L24" s="41"/>
      <c r="M24" s="42"/>
      <c r="N24" s="43"/>
      <c r="O24" s="43"/>
      <c r="P24" s="43"/>
      <c r="Q24" s="43"/>
      <c r="R24" s="44"/>
      <c r="S24" s="44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4"/>
      <c r="S28" s="65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4"/>
      <c r="S29" s="65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4"/>
      <c r="S30" s="65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4"/>
      <c r="S31" s="65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4"/>
      <c r="S32" s="65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4"/>
      <c r="S33" s="65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4"/>
      <c r="I36" s="65"/>
      <c r="J36" s="64"/>
      <c r="K36" s="65"/>
      <c r="L36" s="64"/>
      <c r="M36" s="65"/>
      <c r="N36" s="64"/>
      <c r="O36" s="65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TIRADOR GOMEZ DANIELA LIZETH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4">
    <cfRule type="cellIs" dxfId="15" priority="1" operator="equal">
      <formula>0</formula>
    </cfRule>
  </conditionalFormatting>
  <conditionalFormatting sqref="N15:N24">
    <cfRule type="cellIs" dxfId="14" priority="2" operator="equal">
      <formula>0</formula>
    </cfRule>
  </conditionalFormatting>
  <dataValidations count="2">
    <dataValidation type="list" allowBlank="1" sqref="H28:H33 J28:J33 L28:L33 N28:N33 P28:P33" xr:uid="{00000000-0002-0000-1A00-000000000000}">
      <formula1>$T$15:$T$21</formula1>
    </dataValidation>
    <dataValidation type="list" allowBlank="1" sqref="H27 J27 L27 N27 P27 H34:H41 R27:R41 L34:L41 J34:J41 P34:P41 N34:N41" xr:uid="{00000000-0002-0000-1A00-000001000000}">
      <formula1>$T$15:$T$22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A00-000002000000}">
          <x14:formula1>
            <xm:f>z_2_Maestros!$B$2:$B$304</xm:f>
          </x14:formula1>
          <xm:sqref>B10</xm:sqref>
        </x14:dataValidation>
        <x14:dataValidation type="list" allowBlank="1" xr:uid="{00000000-0002-0000-1A00-000003000000}">
          <x14:formula1>
            <xm:f>z_3_Materias!$A$2:$A$508</xm:f>
          </x14:formula1>
          <xm:sqref>H15:H23 H24:K24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7">
    <tabColor rgb="FF92D050"/>
    <pageSetUpPr fitToPage="1"/>
  </sheetPr>
  <dimension ref="B1:T51"/>
  <sheetViews>
    <sheetView view="pageBreakPreview" topLeftCell="A18" zoomScale="60" zoomScaleNormal="4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123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4"/>
      <c r="I27" s="65"/>
      <c r="J27" s="64"/>
      <c r="K27" s="65"/>
      <c r="L27" s="64"/>
      <c r="M27" s="65"/>
      <c r="N27" s="64"/>
      <c r="O27" s="65"/>
      <c r="P27" s="64"/>
      <c r="Q27" s="65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TORRES HERNANDEZ LUIS ENRIQUE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N31:O31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H37:I37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13" priority="1" operator="equal">
      <formula>0</formula>
    </cfRule>
  </conditionalFormatting>
  <conditionalFormatting sqref="N15:N23">
    <cfRule type="cellIs" dxfId="12" priority="2" operator="equal">
      <formula>0</formula>
    </cfRule>
  </conditionalFormatting>
  <dataValidations count="1">
    <dataValidation type="list" allowBlank="1" sqref="H27:H41 J27:J41 N27:N41 R27:R41 P27:P41 L27:L41" xr:uid="{00000000-0002-0000-1B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B00-000001000000}">
          <x14:formula1>
            <xm:f>z_2_Maestros!$B$2:$B$304</xm:f>
          </x14:formula1>
          <xm:sqref>B10</xm:sqref>
        </x14:dataValidation>
        <x14:dataValidation type="list" allowBlank="1" xr:uid="{00000000-0002-0000-1B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124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4"/>
      <c r="I37" s="65"/>
      <c r="J37" s="64"/>
      <c r="K37" s="65"/>
      <c r="L37" s="64"/>
      <c r="M37" s="65"/>
      <c r="N37" s="64"/>
      <c r="O37" s="65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4"/>
      <c r="I38" s="65"/>
      <c r="J38" s="64"/>
      <c r="K38" s="65"/>
      <c r="L38" s="64"/>
      <c r="M38" s="65"/>
      <c r="N38" s="64"/>
      <c r="O38" s="65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4"/>
      <c r="I39" s="65"/>
      <c r="J39" s="64"/>
      <c r="K39" s="65"/>
      <c r="L39" s="64"/>
      <c r="M39" s="65"/>
      <c r="N39" s="64"/>
      <c r="O39" s="65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4"/>
      <c r="I40" s="65"/>
      <c r="J40" s="64"/>
      <c r="K40" s="65"/>
      <c r="L40" s="64"/>
      <c r="M40" s="65"/>
      <c r="N40" s="64"/>
      <c r="O40" s="65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4"/>
      <c r="I41" s="65"/>
      <c r="J41" s="64"/>
      <c r="K41" s="65"/>
      <c r="L41" s="64"/>
      <c r="M41" s="65"/>
      <c r="N41" s="64"/>
      <c r="O41" s="65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TORRES RODRIGUEZ KATHERINNE ARANZA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N21:Q21"/>
    <mergeCell ref="N22:Q22"/>
    <mergeCell ref="R15:S23"/>
    <mergeCell ref="N23:Q23"/>
    <mergeCell ref="N26:O26"/>
    <mergeCell ref="P26:Q26"/>
    <mergeCell ref="R26:S26"/>
    <mergeCell ref="L25:M25"/>
    <mergeCell ref="L26:M26"/>
    <mergeCell ref="R29:S29"/>
    <mergeCell ref="L30:M30"/>
    <mergeCell ref="N30:O30"/>
    <mergeCell ref="P30:Q30"/>
    <mergeCell ref="R30:S30"/>
    <mergeCell ref="L31:M31"/>
    <mergeCell ref="N46:R46"/>
    <mergeCell ref="H41:I41"/>
    <mergeCell ref="J41:K41"/>
    <mergeCell ref="L41:M41"/>
    <mergeCell ref="P41:Q41"/>
    <mergeCell ref="R41:S41"/>
    <mergeCell ref="L42:M42"/>
    <mergeCell ref="N41:O41"/>
    <mergeCell ref="J39:K39"/>
    <mergeCell ref="J40:K40"/>
    <mergeCell ref="B41:G41"/>
    <mergeCell ref="C44:H44"/>
    <mergeCell ref="C46:I46"/>
    <mergeCell ref="C47:I47"/>
    <mergeCell ref="C48:H48"/>
    <mergeCell ref="C50:I50"/>
    <mergeCell ref="C51:I51"/>
    <mergeCell ref="H21:K21"/>
    <mergeCell ref="H22:K22"/>
    <mergeCell ref="B14:C23"/>
    <mergeCell ref="D14:G23"/>
    <mergeCell ref="H14:K14"/>
    <mergeCell ref="H23:K23"/>
    <mergeCell ref="B25:G25"/>
    <mergeCell ref="B26:G26"/>
    <mergeCell ref="H26:I26"/>
    <mergeCell ref="J26:K26"/>
    <mergeCell ref="B30:G30"/>
    <mergeCell ref="H30:I30"/>
    <mergeCell ref="J30:K30"/>
    <mergeCell ref="B31:G31"/>
    <mergeCell ref="H31:I31"/>
    <mergeCell ref="J31:K31"/>
    <mergeCell ref="B33:G33"/>
    <mergeCell ref="N47:R48"/>
    <mergeCell ref="N37:O37"/>
    <mergeCell ref="N38:O38"/>
    <mergeCell ref="N40:O40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P29:Q29"/>
    <mergeCell ref="N31:O31"/>
    <mergeCell ref="P31:Q31"/>
    <mergeCell ref="R31:S31"/>
    <mergeCell ref="B32:G32"/>
    <mergeCell ref="H32:I32"/>
    <mergeCell ref="J32:K32"/>
    <mergeCell ref="L32:M32"/>
    <mergeCell ref="N32:O32"/>
    <mergeCell ref="P32:Q32"/>
    <mergeCell ref="R32:S32"/>
    <mergeCell ref="H33:I33"/>
    <mergeCell ref="J33:K33"/>
    <mergeCell ref="L33:M33"/>
    <mergeCell ref="N33:O33"/>
    <mergeCell ref="P33:Q33"/>
    <mergeCell ref="R33:S33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P37:Q37"/>
    <mergeCell ref="R37:S37"/>
    <mergeCell ref="B38:G38"/>
    <mergeCell ref="H38:I38"/>
    <mergeCell ref="J38:K38"/>
    <mergeCell ref="L38:M38"/>
    <mergeCell ref="P38:Q38"/>
    <mergeCell ref="R38:S38"/>
    <mergeCell ref="B39:G39"/>
    <mergeCell ref="H39:I39"/>
    <mergeCell ref="L39:M39"/>
    <mergeCell ref="N39:O39"/>
    <mergeCell ref="P39:Q39"/>
    <mergeCell ref="R39:S39"/>
    <mergeCell ref="B40:G40"/>
    <mergeCell ref="H40:I40"/>
    <mergeCell ref="L40:M40"/>
    <mergeCell ref="P40:Q40"/>
    <mergeCell ref="R40:S40"/>
  </mergeCells>
  <conditionalFormatting sqref="L15:L23">
    <cfRule type="cellIs" dxfId="11" priority="1" operator="equal">
      <formula>0</formula>
    </cfRule>
  </conditionalFormatting>
  <conditionalFormatting sqref="N15:N23">
    <cfRule type="cellIs" dxfId="10" priority="2" operator="equal">
      <formula>0</formula>
    </cfRule>
  </conditionalFormatting>
  <dataValidations count="1">
    <dataValidation type="list" allowBlank="1" sqref="N27:N41 J27:J41 L27:L41 R27:R41 P27:P41 H27:H41" xr:uid="{00000000-0002-0000-1C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C00-000001000000}">
          <x14:formula1>
            <xm:f>z_2_Maestros!$B$2:$B$304</xm:f>
          </x14:formula1>
          <xm:sqref>B10</xm:sqref>
        </x14:dataValidation>
        <x14:dataValidation type="list" allowBlank="1" xr:uid="{00000000-0002-0000-1C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9">
    <tabColor rgb="FFFFC00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128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6"/>
      <c r="I27" s="67"/>
      <c r="J27" s="68"/>
      <c r="K27" s="63"/>
      <c r="L27" s="68"/>
      <c r="M27" s="63"/>
      <c r="N27" s="68"/>
      <c r="O27" s="63"/>
      <c r="P27" s="68"/>
      <c r="Q27" s="63"/>
      <c r="R27" s="66"/>
      <c r="S27" s="67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6"/>
      <c r="I28" s="67"/>
      <c r="J28" s="68"/>
      <c r="K28" s="63"/>
      <c r="L28" s="68"/>
      <c r="M28" s="63"/>
      <c r="N28" s="68"/>
      <c r="O28" s="63"/>
      <c r="P28" s="68"/>
      <c r="Q28" s="63"/>
      <c r="R28" s="66"/>
      <c r="S28" s="67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6"/>
      <c r="I29" s="67"/>
      <c r="J29" s="68"/>
      <c r="K29" s="63"/>
      <c r="L29" s="68"/>
      <c r="M29" s="63"/>
      <c r="N29" s="68"/>
      <c r="O29" s="63"/>
      <c r="P29" s="68"/>
      <c r="Q29" s="63"/>
      <c r="R29" s="66"/>
      <c r="S29" s="67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4"/>
      <c r="S30" s="65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4"/>
      <c r="S31" s="65"/>
    </row>
    <row r="32" spans="2:20" ht="93.7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4"/>
      <c r="S32" s="65"/>
    </row>
    <row r="33" spans="2:19" ht="97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4"/>
      <c r="S33" s="65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4"/>
      <c r="S34" s="65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4"/>
      <c r="S35" s="65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4"/>
      <c r="Q36" s="65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4"/>
      <c r="Q37" s="65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4"/>
      <c r="Q38" s="65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4"/>
      <c r="O39" s="65"/>
      <c r="P39" s="64"/>
      <c r="Q39" s="65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4"/>
      <c r="O40" s="65"/>
      <c r="P40" s="64"/>
      <c r="Q40" s="65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4"/>
      <c r="O41" s="65"/>
      <c r="P41" s="64"/>
      <c r="Q41" s="65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VALADEZ VARGAS ALEJANDRO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9" priority="1" operator="equal">
      <formula>0</formula>
    </cfRule>
  </conditionalFormatting>
  <conditionalFormatting sqref="N15:N23">
    <cfRule type="cellIs" dxfId="8" priority="2" operator="equal">
      <formula>0</formula>
    </cfRule>
  </conditionalFormatting>
  <dataValidations count="1">
    <dataValidation type="list" allowBlank="1" sqref="H27:H41 J27:J41 L27:L41 N27:N41 P27:P41 R27:R41" xr:uid="{00000000-0002-0000-1D00-000000000000}">
      <formula1>$T$15:$T$23</formula1>
    </dataValidation>
  </dataValidations>
  <printOptions horizontalCentered="1"/>
  <pageMargins left="0.25" right="0.25" top="0.75" bottom="0.75" header="0" footer="0"/>
  <pageSetup scale="3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D00-000001000000}">
          <x14:formula1>
            <xm:f>z_2_Maestros!$B$2:$B$304</xm:f>
          </x14:formula1>
          <xm:sqref>B10</xm:sqref>
        </x14:dataValidation>
        <x14:dataValidation type="list" allowBlank="1" xr:uid="{00000000-0002-0000-1D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>
    <tabColor rgb="FFFFC000"/>
    <pageSetUpPr fitToPage="1"/>
  </sheetPr>
  <dimension ref="B1:T52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131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07" t="s">
        <v>17</v>
      </c>
      <c r="I15" s="84"/>
      <c r="J15" s="84"/>
      <c r="K15" s="108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/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/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4"/>
      <c r="I35" s="65"/>
      <c r="J35" s="64"/>
      <c r="K35" s="65"/>
      <c r="L35" s="64"/>
      <c r="M35" s="65"/>
      <c r="N35" s="64"/>
      <c r="O35" s="65"/>
      <c r="P35" s="64"/>
      <c r="Q35" s="65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166" t="s">
        <v>521</v>
      </c>
      <c r="D46" s="166"/>
      <c r="E46" s="166"/>
      <c r="F46" s="166"/>
      <c r="G46" s="166"/>
      <c r="H46" s="166"/>
      <c r="I46" s="166"/>
      <c r="J46" s="166"/>
      <c r="K46" s="7"/>
      <c r="L46" s="7"/>
      <c r="M46" s="7"/>
      <c r="N46" s="166" t="str">
        <f>B10</f>
        <v>VARELA OLMOS VIOLETA</v>
      </c>
      <c r="O46" s="177"/>
      <c r="P46" s="177"/>
      <c r="Q46" s="177"/>
      <c r="R46" s="177"/>
      <c r="S46" s="25"/>
    </row>
    <row r="47" spans="2:19" ht="14.25" customHeight="1" x14ac:dyDescent="0.35">
      <c r="C47" s="70" t="s">
        <v>522</v>
      </c>
      <c r="D47" s="70"/>
      <c r="E47" s="70"/>
      <c r="F47" s="70"/>
      <c r="G47" s="70"/>
      <c r="H47" s="70"/>
      <c r="I47" s="70"/>
      <c r="J47" s="70"/>
      <c r="K47" s="7"/>
      <c r="L47" s="7"/>
      <c r="M47" s="7"/>
      <c r="N47" s="176" t="s">
        <v>43</v>
      </c>
      <c r="O47" s="149"/>
      <c r="P47" s="149"/>
      <c r="Q47" s="149"/>
      <c r="R47" s="149"/>
      <c r="S47" s="26"/>
    </row>
    <row r="48" spans="2:19" ht="25.5" customHeight="1" x14ac:dyDescent="0.35">
      <c r="B48" s="27"/>
      <c r="C48" s="70"/>
      <c r="D48" s="70"/>
      <c r="E48" s="70"/>
      <c r="F48" s="70"/>
      <c r="G48" s="70"/>
      <c r="H48" s="70"/>
      <c r="I48" s="70"/>
      <c r="J48" s="70"/>
      <c r="K48" s="28"/>
      <c r="L48" s="28"/>
      <c r="M48" s="28"/>
      <c r="N48" s="71"/>
      <c r="O48" s="71"/>
      <c r="P48" s="71"/>
      <c r="Q48" s="71"/>
      <c r="R48" s="71"/>
      <c r="S48" s="27"/>
    </row>
    <row r="50" spans="3:10" ht="14.25" customHeight="1" x14ac:dyDescent="0.3">
      <c r="C50" s="70" t="s">
        <v>41</v>
      </c>
      <c r="D50" s="70"/>
      <c r="E50" s="70"/>
      <c r="F50" s="70"/>
      <c r="G50" s="70"/>
      <c r="H50" s="70"/>
      <c r="I50" s="70"/>
      <c r="J50" s="70"/>
    </row>
    <row r="51" spans="3:10" ht="14.25" customHeight="1" x14ac:dyDescent="0.3">
      <c r="C51" s="166"/>
      <c r="D51" s="166"/>
      <c r="E51" s="166"/>
      <c r="F51" s="166"/>
      <c r="G51" s="166"/>
      <c r="H51" s="166"/>
      <c r="I51" s="166"/>
      <c r="J51" s="166"/>
    </row>
    <row r="52" spans="3:10" ht="30" customHeight="1" x14ac:dyDescent="0.3">
      <c r="C52" s="70" t="s">
        <v>523</v>
      </c>
      <c r="D52" s="70"/>
      <c r="E52" s="70"/>
      <c r="F52" s="70"/>
      <c r="G52" s="70"/>
      <c r="H52" s="70"/>
      <c r="I52" s="70"/>
      <c r="J52" s="70"/>
    </row>
  </sheetData>
  <mergeCells count="162">
    <mergeCell ref="B5:H7"/>
    <mergeCell ref="B8:K8"/>
    <mergeCell ref="B10:K10"/>
    <mergeCell ref="B11:K11"/>
    <mergeCell ref="B14:C23"/>
    <mergeCell ref="D14:G23"/>
    <mergeCell ref="H14:K14"/>
    <mergeCell ref="N32:O32"/>
    <mergeCell ref="P32:Q32"/>
    <mergeCell ref="N30:O30"/>
    <mergeCell ref="P30:Q30"/>
    <mergeCell ref="B30:G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29:G29"/>
    <mergeCell ref="H29:I29"/>
    <mergeCell ref="J29:K29"/>
    <mergeCell ref="R32:S32"/>
    <mergeCell ref="L33:M33"/>
    <mergeCell ref="N33:O33"/>
    <mergeCell ref="P33:Q33"/>
    <mergeCell ref="R33:S33"/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P29:Q29"/>
    <mergeCell ref="R29:S29"/>
    <mergeCell ref="R30:S30"/>
    <mergeCell ref="N31:O31"/>
    <mergeCell ref="H17:K17"/>
    <mergeCell ref="H18:K18"/>
    <mergeCell ref="N17:Q17"/>
    <mergeCell ref="N18:Q18"/>
    <mergeCell ref="H19:K19"/>
    <mergeCell ref="H20:K20"/>
    <mergeCell ref="N19:Q19"/>
    <mergeCell ref="N20:Q20"/>
    <mergeCell ref="P31:Q31"/>
    <mergeCell ref="R31:S31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H30:I30"/>
    <mergeCell ref="J30:K30"/>
    <mergeCell ref="B33:G33"/>
    <mergeCell ref="H33:I33"/>
    <mergeCell ref="J33:K33"/>
    <mergeCell ref="N46:R46"/>
    <mergeCell ref="H41:I41"/>
    <mergeCell ref="J41:K41"/>
    <mergeCell ref="L41:M41"/>
    <mergeCell ref="N41:O41"/>
    <mergeCell ref="P41:Q41"/>
    <mergeCell ref="R41:S41"/>
    <mergeCell ref="L42:M42"/>
    <mergeCell ref="N44:R44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L29:M29"/>
    <mergeCell ref="N29:O29"/>
    <mergeCell ref="B25:G25"/>
    <mergeCell ref="L25:M25"/>
    <mergeCell ref="B26:G26"/>
    <mergeCell ref="H26:I26"/>
    <mergeCell ref="J26:K26"/>
    <mergeCell ref="L26:M26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  <mergeCell ref="C47:J48"/>
    <mergeCell ref="C46:J46"/>
    <mergeCell ref="C50:J51"/>
    <mergeCell ref="C52:J52"/>
    <mergeCell ref="B40:G40"/>
    <mergeCell ref="H40:I40"/>
    <mergeCell ref="J40:K40"/>
    <mergeCell ref="L40:M40"/>
    <mergeCell ref="N40:O40"/>
    <mergeCell ref="N47:R48"/>
    <mergeCell ref="B41:G41"/>
    <mergeCell ref="C44:H44"/>
  </mergeCells>
  <conditionalFormatting sqref="L15:L23">
    <cfRule type="cellIs" dxfId="7" priority="1" operator="equal">
      <formula>0</formula>
    </cfRule>
  </conditionalFormatting>
  <conditionalFormatting sqref="N15:N23">
    <cfRule type="cellIs" dxfId="6" priority="2" operator="equal">
      <formula>0</formula>
    </cfRule>
  </conditionalFormatting>
  <dataValidations count="1">
    <dataValidation type="list" allowBlank="1" sqref="R27:R41 J27:J41 H27:H41 L27:L41 P27:P41 N27:N41" xr:uid="{00000000-0002-0000-1E00-000000000000}">
      <formula1>$T$15:$T$23</formula1>
    </dataValidation>
  </dataValidations>
  <printOptions horizontalCentered="1"/>
  <pageMargins left="0.25" right="0.25" top="0.75" bottom="0.75" header="0" footer="0"/>
  <pageSetup paperSize="9"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E00-000001000000}">
          <x14:formula1>
            <xm:f>z_2_Maestros!$B$2:$B$304</xm:f>
          </x14:formula1>
          <xm:sqref>B10</xm:sqref>
        </x14:dataValidation>
        <x14:dataValidation type="list" allowBlank="1" xr:uid="{00000000-0002-0000-1E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1">
    <tabColor rgb="FF92D050"/>
    <pageSetUpPr fitToPage="1"/>
  </sheetPr>
  <dimension ref="B1:T51"/>
  <sheetViews>
    <sheetView view="pageBreakPreview" topLeftCell="A18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134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>
        <f t="array" ref="L15">INDEX(z_3_Materias!B2:B508, MATCH(H15, z_3_Materias!A2:A508, 0))</f>
        <v>0</v>
      </c>
      <c r="M15" s="12"/>
      <c r="N15" s="109">
        <f t="array" ref="N15">INDEX(z_3_Materias!D2:D508, MATCH(H15, z_3_Materias!A2:A508, 0))</f>
        <v>0</v>
      </c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123" t="s">
        <v>17</v>
      </c>
      <c r="I16" s="124"/>
      <c r="J16" s="124"/>
      <c r="K16" s="125"/>
      <c r="L16" s="14">
        <f t="array" ref="L16">INDEX(z_3_Materias!B2:B508, MATCH(H16, z_3_Materias!A2:A508, 0))</f>
        <v>0</v>
      </c>
      <c r="M16" s="12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/>
      <c r="M18" s="15"/>
      <c r="N18" s="89"/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VILLA CUETO MA. ISABEL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49" spans="3:9" ht="14.25" customHeight="1" x14ac:dyDescent="0.3">
      <c r="C49" s="70"/>
      <c r="D49" s="71"/>
      <c r="E49" s="71"/>
      <c r="F49" s="71"/>
      <c r="G49" s="71"/>
      <c r="H49" s="71"/>
      <c r="I49" s="71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4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N31:O31"/>
    <mergeCell ref="P31:Q31"/>
    <mergeCell ref="R31:S31"/>
    <mergeCell ref="N32:O32"/>
    <mergeCell ref="P32:Q32"/>
    <mergeCell ref="R32:S32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N33:O33"/>
    <mergeCell ref="P33:Q33"/>
    <mergeCell ref="P34:Q34"/>
    <mergeCell ref="H23:K23"/>
    <mergeCell ref="N30:O30"/>
    <mergeCell ref="P30:Q30"/>
    <mergeCell ref="R30:S30"/>
    <mergeCell ref="B25:G25"/>
    <mergeCell ref="L25:M25"/>
    <mergeCell ref="B26:G26"/>
    <mergeCell ref="H26:I26"/>
    <mergeCell ref="J26:K26"/>
    <mergeCell ref="L26:M26"/>
    <mergeCell ref="C50:I50"/>
    <mergeCell ref="C51:I51"/>
    <mergeCell ref="B41:G41"/>
    <mergeCell ref="C44:H44"/>
    <mergeCell ref="C46:I46"/>
    <mergeCell ref="C47:I47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N47:R48"/>
    <mergeCell ref="C48:H48"/>
    <mergeCell ref="C49:I49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P29:Q29"/>
    <mergeCell ref="R29:S29"/>
    <mergeCell ref="B33:G33"/>
    <mergeCell ref="H33:I33"/>
    <mergeCell ref="J33:K33"/>
    <mergeCell ref="L33:M33"/>
    <mergeCell ref="R33:S33"/>
    <mergeCell ref="B34:G34"/>
    <mergeCell ref="H34:I34"/>
    <mergeCell ref="J34:K34"/>
    <mergeCell ref="L34:M34"/>
    <mergeCell ref="N34:O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  <mergeCell ref="B40:G40"/>
    <mergeCell ref="H40:I40"/>
    <mergeCell ref="J40:K40"/>
    <mergeCell ref="L40:M40"/>
    <mergeCell ref="N40:O40"/>
    <mergeCell ref="P40:Q40"/>
    <mergeCell ref="R40:S40"/>
  </mergeCells>
  <conditionalFormatting sqref="L15:L23">
    <cfRule type="cellIs" dxfId="5" priority="1" operator="equal">
      <formula>0</formula>
    </cfRule>
  </conditionalFormatting>
  <conditionalFormatting sqref="N15:N23">
    <cfRule type="cellIs" dxfId="4" priority="2" operator="equal">
      <formula>0</formula>
    </cfRule>
  </conditionalFormatting>
  <dataValidations count="1">
    <dataValidation type="list" allowBlank="1" sqref="L27:L41 R27:R41 N27:N41 H27:H41 J27:J41 P27:P41" xr:uid="{00000000-0002-0000-1F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F00-000001000000}">
          <x14:formula1>
            <xm:f>z_2_Maestros!$B$2:$B$304</xm:f>
          </x14:formula1>
          <xm:sqref>B10</xm:sqref>
        </x14:dataValidation>
        <x14:dataValidation type="list" allowBlank="1" xr:uid="{00000000-0002-0000-1F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2">
    <tabColor rgb="FF92D050"/>
    <pageSetUpPr fitToPage="1"/>
  </sheetPr>
  <dimension ref="B1:T51"/>
  <sheetViews>
    <sheetView view="pageBreakPreview" topLeftCell="A5" zoomScale="60" zoomScaleNormal="50" workbookViewId="0">
      <selection activeCell="B5" sqref="B5:H7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135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21" t="s">
        <v>10</v>
      </c>
      <c r="I14" s="62"/>
      <c r="J14" s="62"/>
      <c r="K14" s="63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123" t="s">
        <v>17</v>
      </c>
      <c r="I15" s="124"/>
      <c r="J15" s="124"/>
      <c r="K15" s="125"/>
      <c r="L15" s="11"/>
      <c r="M15" s="12"/>
      <c r="N15" s="109"/>
      <c r="O15" s="84"/>
      <c r="P15" s="84"/>
      <c r="Q15" s="108"/>
      <c r="R15" s="90">
        <f>SUM(N15:Q23)</f>
        <v>0</v>
      </c>
      <c r="S15" s="91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4"/>
      <c r="I28" s="65"/>
      <c r="J28" s="64"/>
      <c r="K28" s="65"/>
      <c r="L28" s="64"/>
      <c r="M28" s="65"/>
      <c r="N28" s="64"/>
      <c r="O28" s="65"/>
      <c r="P28" s="64"/>
      <c r="Q28" s="65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4"/>
      <c r="I29" s="65"/>
      <c r="J29" s="64"/>
      <c r="K29" s="65"/>
      <c r="L29" s="64"/>
      <c r="M29" s="65"/>
      <c r="N29" s="64"/>
      <c r="O29" s="65"/>
      <c r="P29" s="64"/>
      <c r="Q29" s="65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4"/>
      <c r="I31" s="65"/>
      <c r="J31" s="64"/>
      <c r="K31" s="65"/>
      <c r="L31" s="64"/>
      <c r="M31" s="65"/>
      <c r="N31" s="64"/>
      <c r="O31" s="65"/>
      <c r="P31" s="64"/>
      <c r="Q31" s="65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4"/>
      <c r="I33" s="65"/>
      <c r="J33" s="64"/>
      <c r="K33" s="65"/>
      <c r="L33" s="64"/>
      <c r="M33" s="65"/>
      <c r="N33" s="64"/>
      <c r="O33" s="65"/>
      <c r="P33" s="64"/>
      <c r="Q33" s="65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4"/>
      <c r="I34" s="65"/>
      <c r="J34" s="64"/>
      <c r="K34" s="65"/>
      <c r="L34" s="64"/>
      <c r="M34" s="65"/>
      <c r="N34" s="64"/>
      <c r="O34" s="65"/>
      <c r="P34" s="64"/>
      <c r="Q34" s="65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4"/>
      <c r="M35" s="65"/>
      <c r="N35" s="64"/>
      <c r="O35" s="65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4"/>
      <c r="M36" s="65"/>
      <c r="N36" s="64"/>
      <c r="O36" s="65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4"/>
      <c r="M37" s="65"/>
      <c r="N37" s="64"/>
      <c r="O37" s="65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4"/>
      <c r="M38" s="65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>ZAMACONA PRADO NAYELI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L28:M28"/>
    <mergeCell ref="P29:Q29"/>
    <mergeCell ref="P30:Q30"/>
    <mergeCell ref="H23:K23"/>
    <mergeCell ref="N30:O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N28:O28"/>
    <mergeCell ref="P28:Q28"/>
    <mergeCell ref="R28:S28"/>
    <mergeCell ref="B29:G29"/>
    <mergeCell ref="H29:I29"/>
    <mergeCell ref="J29:K29"/>
    <mergeCell ref="L29:M29"/>
    <mergeCell ref="N29:O29"/>
    <mergeCell ref="R29:S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3" priority="1" operator="equal">
      <formula>0</formula>
    </cfRule>
  </conditionalFormatting>
  <conditionalFormatting sqref="N15:N23">
    <cfRule type="cellIs" dxfId="2" priority="2" operator="equal">
      <formula>0</formula>
    </cfRule>
  </conditionalFormatting>
  <dataValidations count="1">
    <dataValidation type="list" allowBlank="1" sqref="L27:L41 H27:H41 J27:J41 R27:R41 N27:N41 P27:P41" xr:uid="{00000000-0002-0000-2000-000000000000}">
      <formula1>$T$15:$T$23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2000-000001000000}">
          <x14:formula1>
            <xm:f>z_2_Maestros!$B$2:$B$304</xm:f>
          </x14:formula1>
          <xm:sqref>B10</xm:sqref>
        </x14:dataValidation>
        <x14:dataValidation type="list" allowBlank="1" xr:uid="{00000000-0002-0000-20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3">
    <tabColor rgb="FF92D050"/>
    <pageSetUpPr fitToPage="1"/>
  </sheetPr>
  <dimension ref="B1:T51"/>
  <sheetViews>
    <sheetView workbookViewId="0">
      <selection activeCell="J30" sqref="J30:K30"/>
    </sheetView>
  </sheetViews>
  <sheetFormatPr baseColWidth="10" defaultColWidth="14.44140625" defaultRowHeight="15" customHeight="1" x14ac:dyDescent="0.3"/>
  <cols>
    <col min="1" max="1" width="3.21875" customWidth="1"/>
    <col min="2" max="3" width="6.44140625" customWidth="1"/>
    <col min="4" max="7" width="8.44140625" customWidth="1"/>
    <col min="8" max="19" width="17.44140625" customWidth="1"/>
    <col min="20" max="26" width="10.6640625" customWidth="1"/>
  </cols>
  <sheetData>
    <row r="1" spans="2:20" ht="20.25" customHeight="1" x14ac:dyDescent="0.4">
      <c r="B1" s="10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1"/>
    </row>
    <row r="2" spans="2:20" ht="20.25" customHeight="1" x14ac:dyDescent="0.4">
      <c r="B2" s="101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1"/>
    </row>
    <row r="3" spans="2:20" ht="20.25" customHeight="1" x14ac:dyDescent="0.4">
      <c r="B3" s="102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"/>
    </row>
    <row r="4" spans="2:20" ht="20.25" customHeight="1" x14ac:dyDescent="0.3">
      <c r="B4" s="103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1"/>
    </row>
    <row r="5" spans="2:20" ht="23.25" customHeight="1" x14ac:dyDescent="0.3">
      <c r="B5" s="114"/>
      <c r="C5" s="79"/>
      <c r="D5" s="79"/>
      <c r="E5" s="79"/>
      <c r="F5" s="79"/>
      <c r="G5" s="79"/>
      <c r="H5" s="79"/>
      <c r="I5" s="104" t="s">
        <v>565</v>
      </c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2:20" ht="23.25" customHeight="1" x14ac:dyDescent="0.3">
      <c r="B6" s="92"/>
      <c r="C6" s="71"/>
      <c r="D6" s="71"/>
      <c r="E6" s="71"/>
      <c r="F6" s="71"/>
      <c r="G6" s="71"/>
      <c r="H6" s="71"/>
      <c r="I6" s="105" t="s">
        <v>563</v>
      </c>
      <c r="J6" s="71"/>
      <c r="K6" s="71"/>
      <c r="L6" s="71"/>
      <c r="M6" s="71"/>
      <c r="N6" s="71"/>
      <c r="O6" s="71"/>
      <c r="P6" s="71"/>
      <c r="Q6" s="71"/>
      <c r="R6" s="71"/>
      <c r="S6" s="91"/>
    </row>
    <row r="7" spans="2:20" ht="23.25" customHeight="1" x14ac:dyDescent="0.3">
      <c r="B7" s="93"/>
      <c r="C7" s="76"/>
      <c r="D7" s="76"/>
      <c r="E7" s="76"/>
      <c r="F7" s="76"/>
      <c r="G7" s="76"/>
      <c r="H7" s="76"/>
      <c r="I7" s="106" t="s">
        <v>564</v>
      </c>
      <c r="J7" s="76"/>
      <c r="K7" s="76"/>
      <c r="L7" s="76"/>
      <c r="M7" s="76"/>
      <c r="N7" s="76"/>
      <c r="O7" s="76"/>
      <c r="P7" s="76"/>
      <c r="Q7" s="76"/>
      <c r="R7" s="76"/>
      <c r="S7" s="94"/>
    </row>
    <row r="8" spans="2:20" ht="12" customHeight="1" x14ac:dyDescent="0.3">
      <c r="B8" s="115"/>
      <c r="C8" s="79"/>
      <c r="D8" s="79"/>
      <c r="E8" s="79"/>
      <c r="F8" s="79"/>
      <c r="G8" s="79"/>
      <c r="H8" s="79"/>
      <c r="I8" s="79"/>
      <c r="J8" s="79"/>
      <c r="K8" s="79"/>
      <c r="L8" s="3"/>
      <c r="M8" s="110"/>
      <c r="N8" s="79"/>
      <c r="O8" s="79"/>
      <c r="P8" s="79"/>
      <c r="Q8" s="79"/>
      <c r="R8" s="79"/>
      <c r="S8" s="79"/>
    </row>
    <row r="9" spans="2:20" ht="12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20" ht="20.25" customHeight="1" x14ac:dyDescent="0.3">
      <c r="B10" s="111" t="s">
        <v>17</v>
      </c>
      <c r="C10" s="76"/>
      <c r="D10" s="76"/>
      <c r="E10" s="76"/>
      <c r="F10" s="76"/>
      <c r="G10" s="76"/>
      <c r="H10" s="76"/>
      <c r="I10" s="76"/>
      <c r="J10" s="76"/>
      <c r="K10" s="76"/>
      <c r="L10" s="2"/>
      <c r="M10" s="5"/>
      <c r="N10" s="111" t="s">
        <v>4</v>
      </c>
      <c r="O10" s="76"/>
      <c r="P10" s="76"/>
      <c r="Q10" s="76"/>
      <c r="R10" s="76"/>
      <c r="S10" s="76"/>
    </row>
    <row r="11" spans="2:20" ht="14.25" customHeight="1" x14ac:dyDescent="0.35">
      <c r="B11" s="112" t="s">
        <v>5</v>
      </c>
      <c r="C11" s="79"/>
      <c r="D11" s="79"/>
      <c r="E11" s="79"/>
      <c r="F11" s="79"/>
      <c r="G11" s="79"/>
      <c r="H11" s="79"/>
      <c r="I11" s="79"/>
      <c r="J11" s="79"/>
      <c r="K11" s="79"/>
      <c r="L11" s="6"/>
      <c r="M11" s="7"/>
      <c r="N11" s="112" t="s">
        <v>6</v>
      </c>
      <c r="O11" s="79"/>
      <c r="P11" s="79"/>
      <c r="Q11" s="79"/>
      <c r="R11" s="79"/>
      <c r="S11" s="79"/>
    </row>
    <row r="12" spans="2:20" ht="14.25" customHeight="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20" ht="14.25" customHeight="1" x14ac:dyDescent="0.4">
      <c r="B13" s="102" t="s">
        <v>7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2:20" ht="33.75" customHeight="1" x14ac:dyDescent="0.3">
      <c r="B14" s="116" t="s">
        <v>8</v>
      </c>
      <c r="C14" s="80"/>
      <c r="D14" s="117" t="s">
        <v>9</v>
      </c>
      <c r="E14" s="79"/>
      <c r="F14" s="79"/>
      <c r="G14" s="118"/>
      <c r="H14" s="180" t="s">
        <v>10</v>
      </c>
      <c r="I14" s="79"/>
      <c r="J14" s="79"/>
      <c r="K14" s="80"/>
      <c r="L14" s="9" t="s">
        <v>11</v>
      </c>
      <c r="M14" s="10" t="s">
        <v>12</v>
      </c>
      <c r="N14" s="68" t="s">
        <v>13</v>
      </c>
      <c r="O14" s="62"/>
      <c r="P14" s="62"/>
      <c r="Q14" s="63"/>
      <c r="R14" s="113" t="s">
        <v>14</v>
      </c>
      <c r="S14" s="63"/>
    </row>
    <row r="15" spans="2:20" ht="21" customHeight="1" x14ac:dyDescent="0.3">
      <c r="B15" s="92"/>
      <c r="C15" s="91"/>
      <c r="D15" s="92"/>
      <c r="E15" s="71"/>
      <c r="F15" s="71"/>
      <c r="G15" s="119"/>
      <c r="H15" s="86" t="s">
        <v>17</v>
      </c>
      <c r="I15" s="87"/>
      <c r="J15" s="87"/>
      <c r="K15" s="88"/>
      <c r="L15" s="11">
        <f t="array" ref="L15">INDEX(z_3_Materias!B2:B508, MATCH(H15, z_3_Materias!A2:A508, 0))</f>
        <v>0</v>
      </c>
      <c r="M15" s="12"/>
      <c r="N15" s="179">
        <f t="array" ref="N15">INDEX(z_3_Materias!D2:D508, MATCH(H15, z_3_Materias!A2:A508, 0))</f>
        <v>0</v>
      </c>
      <c r="O15" s="129"/>
      <c r="P15" s="129"/>
      <c r="Q15" s="130"/>
      <c r="R15" s="178">
        <f>SUM(N15:Q23)</f>
        <v>0</v>
      </c>
      <c r="S15" s="80"/>
      <c r="T15" s="13" t="str">
        <f t="shared" ref="T15:T23" si="0">H15&amp;" "&amp;M15</f>
        <v xml:space="preserve">  </v>
      </c>
    </row>
    <row r="16" spans="2:20" ht="21" customHeight="1" x14ac:dyDescent="0.3">
      <c r="B16" s="92"/>
      <c r="C16" s="91"/>
      <c r="D16" s="92"/>
      <c r="E16" s="71"/>
      <c r="F16" s="71"/>
      <c r="G16" s="119"/>
      <c r="H16" s="86" t="s">
        <v>17</v>
      </c>
      <c r="I16" s="87"/>
      <c r="J16" s="87"/>
      <c r="K16" s="88"/>
      <c r="L16" s="14">
        <f t="array" ref="L16">INDEX(z_3_Materias!B2:B508, MATCH(H16, z_3_Materias!A2:A508, 0))</f>
        <v>0</v>
      </c>
      <c r="M16" s="15"/>
      <c r="N16" s="89">
        <f t="array" ref="N16">INDEX(z_3_Materias!D2:D508, MATCH(H16, z_3_Materias!A2:A508, 0))</f>
        <v>0</v>
      </c>
      <c r="O16" s="87"/>
      <c r="P16" s="87"/>
      <c r="Q16" s="88"/>
      <c r="R16" s="92"/>
      <c r="S16" s="91"/>
      <c r="T16" s="13" t="str">
        <f t="shared" si="0"/>
        <v xml:space="preserve">  </v>
      </c>
    </row>
    <row r="17" spans="2:20" ht="21" customHeight="1" x14ac:dyDescent="0.3">
      <c r="B17" s="92"/>
      <c r="C17" s="91"/>
      <c r="D17" s="92"/>
      <c r="E17" s="71"/>
      <c r="F17" s="71"/>
      <c r="G17" s="119"/>
      <c r="H17" s="86" t="s">
        <v>17</v>
      </c>
      <c r="I17" s="87"/>
      <c r="J17" s="87"/>
      <c r="K17" s="88"/>
      <c r="L17" s="14">
        <f t="array" ref="L17">INDEX(z_3_Materias!B2:B508, MATCH(H17, z_3_Materias!A2:A508, 0))</f>
        <v>0</v>
      </c>
      <c r="M17" s="15"/>
      <c r="N17" s="89">
        <f t="array" ref="N17">INDEX(z_3_Materias!D2:D508, MATCH(H17, z_3_Materias!A2:A508, 0))</f>
        <v>0</v>
      </c>
      <c r="O17" s="87"/>
      <c r="P17" s="87"/>
      <c r="Q17" s="88"/>
      <c r="R17" s="92"/>
      <c r="S17" s="91"/>
      <c r="T17" s="13" t="str">
        <f t="shared" si="0"/>
        <v xml:space="preserve">  </v>
      </c>
    </row>
    <row r="18" spans="2:20" ht="21" customHeight="1" x14ac:dyDescent="0.3">
      <c r="B18" s="92"/>
      <c r="C18" s="91"/>
      <c r="D18" s="92"/>
      <c r="E18" s="71"/>
      <c r="F18" s="71"/>
      <c r="G18" s="119"/>
      <c r="H18" s="86" t="s">
        <v>17</v>
      </c>
      <c r="I18" s="87"/>
      <c r="J18" s="87"/>
      <c r="K18" s="88"/>
      <c r="L18" s="14">
        <f t="array" ref="L18">INDEX(z_3_Materias!B2:B508, MATCH(H18, z_3_Materias!A2:A508, 0))</f>
        <v>0</v>
      </c>
      <c r="M18" s="15"/>
      <c r="N18" s="89">
        <f t="array" ref="N18">INDEX(z_3_Materias!D2:D508, MATCH(H18, z_3_Materias!A2:A508, 0))</f>
        <v>0</v>
      </c>
      <c r="O18" s="87"/>
      <c r="P18" s="87"/>
      <c r="Q18" s="88"/>
      <c r="R18" s="92"/>
      <c r="S18" s="91"/>
      <c r="T18" s="13" t="str">
        <f t="shared" si="0"/>
        <v xml:space="preserve">  </v>
      </c>
    </row>
    <row r="19" spans="2:20" ht="21" customHeight="1" x14ac:dyDescent="0.3">
      <c r="B19" s="92"/>
      <c r="C19" s="91"/>
      <c r="D19" s="92"/>
      <c r="E19" s="71"/>
      <c r="F19" s="71"/>
      <c r="G19" s="119"/>
      <c r="H19" s="86" t="s">
        <v>17</v>
      </c>
      <c r="I19" s="87"/>
      <c r="J19" s="87"/>
      <c r="K19" s="88"/>
      <c r="L19" s="14">
        <f t="array" ref="L19">INDEX(z_3_Materias!B2:B508, MATCH(H19, z_3_Materias!A2:A508, 0))</f>
        <v>0</v>
      </c>
      <c r="M19" s="15"/>
      <c r="N19" s="89">
        <f t="array" ref="N19">INDEX(z_3_Materias!D2:D508, MATCH(H19, z_3_Materias!A2:A508, 0))</f>
        <v>0</v>
      </c>
      <c r="O19" s="87"/>
      <c r="P19" s="87"/>
      <c r="Q19" s="88"/>
      <c r="R19" s="92"/>
      <c r="S19" s="91"/>
      <c r="T19" s="13" t="str">
        <f t="shared" si="0"/>
        <v xml:space="preserve">  </v>
      </c>
    </row>
    <row r="20" spans="2:20" ht="21" customHeight="1" x14ac:dyDescent="0.3">
      <c r="B20" s="92"/>
      <c r="C20" s="91"/>
      <c r="D20" s="92"/>
      <c r="E20" s="71"/>
      <c r="F20" s="71"/>
      <c r="G20" s="119"/>
      <c r="H20" s="86" t="s">
        <v>17</v>
      </c>
      <c r="I20" s="87"/>
      <c r="J20" s="87"/>
      <c r="K20" s="88"/>
      <c r="L20" s="14">
        <f t="array" ref="L20">INDEX(z_3_Materias!B2:B508, MATCH(H20, z_3_Materias!A2:A508, 0))</f>
        <v>0</v>
      </c>
      <c r="M20" s="15"/>
      <c r="N20" s="89">
        <f t="array" ref="N20">INDEX(z_3_Materias!D2:D508, MATCH(H20, z_3_Materias!A2:A508, 0))</f>
        <v>0</v>
      </c>
      <c r="O20" s="87"/>
      <c r="P20" s="87"/>
      <c r="Q20" s="88"/>
      <c r="R20" s="92"/>
      <c r="S20" s="91"/>
      <c r="T20" s="13" t="str">
        <f t="shared" si="0"/>
        <v xml:space="preserve">  </v>
      </c>
    </row>
    <row r="21" spans="2:20" ht="21" customHeight="1" x14ac:dyDescent="0.3">
      <c r="B21" s="92"/>
      <c r="C21" s="91"/>
      <c r="D21" s="92"/>
      <c r="E21" s="71"/>
      <c r="F21" s="71"/>
      <c r="G21" s="119"/>
      <c r="H21" s="86" t="s">
        <v>17</v>
      </c>
      <c r="I21" s="87"/>
      <c r="J21" s="87"/>
      <c r="K21" s="88"/>
      <c r="L21" s="14">
        <f t="array" ref="L21">INDEX(z_3_Materias!B2:B508, MATCH(H21, z_3_Materias!A2:A508, 0))</f>
        <v>0</v>
      </c>
      <c r="M21" s="15"/>
      <c r="N21" s="89">
        <f t="array" ref="N21">INDEX(z_3_Materias!D2:D508, MATCH(H21, z_3_Materias!A2:A508, 0))</f>
        <v>0</v>
      </c>
      <c r="O21" s="87"/>
      <c r="P21" s="87"/>
      <c r="Q21" s="88"/>
      <c r="R21" s="92"/>
      <c r="S21" s="91"/>
      <c r="T21" s="13" t="str">
        <f t="shared" si="0"/>
        <v xml:space="preserve">  </v>
      </c>
    </row>
    <row r="22" spans="2:20" ht="21" customHeight="1" x14ac:dyDescent="0.3">
      <c r="B22" s="92"/>
      <c r="C22" s="91"/>
      <c r="D22" s="92"/>
      <c r="E22" s="71"/>
      <c r="F22" s="71"/>
      <c r="G22" s="119"/>
      <c r="H22" s="86" t="s">
        <v>17</v>
      </c>
      <c r="I22" s="87"/>
      <c r="J22" s="87"/>
      <c r="K22" s="88"/>
      <c r="L22" s="14">
        <f t="array" ref="L22">INDEX(z_3_Materias!B2:B508, MATCH(H22, z_3_Materias!A2:A508, 0))</f>
        <v>0</v>
      </c>
      <c r="M22" s="15"/>
      <c r="N22" s="89">
        <f t="array" ref="N22">INDEX(z_3_Materias!D2:D508, MATCH(H22, z_3_Materias!A2:A508, 0))</f>
        <v>0</v>
      </c>
      <c r="O22" s="87"/>
      <c r="P22" s="87"/>
      <c r="Q22" s="88"/>
      <c r="R22" s="92"/>
      <c r="S22" s="91"/>
      <c r="T22" s="13" t="str">
        <f t="shared" si="0"/>
        <v xml:space="preserve">  </v>
      </c>
    </row>
    <row r="23" spans="2:20" ht="21" customHeight="1" x14ac:dyDescent="0.3">
      <c r="B23" s="93"/>
      <c r="C23" s="94"/>
      <c r="D23" s="93"/>
      <c r="E23" s="76"/>
      <c r="F23" s="76"/>
      <c r="G23" s="120"/>
      <c r="H23" s="99" t="s">
        <v>17</v>
      </c>
      <c r="I23" s="96"/>
      <c r="J23" s="96"/>
      <c r="K23" s="97"/>
      <c r="L23" s="16">
        <f t="array" ref="L23">INDEX(z_3_Materias!B2:B508, MATCH(H23, z_3_Materias!A2:A508, 0))</f>
        <v>0</v>
      </c>
      <c r="M23" s="17"/>
      <c r="N23" s="95">
        <f t="array" ref="N23">INDEX(z_3_Materias!D2:D508, MATCH(H23, z_3_Materias!A2:A508, 0))</f>
        <v>0</v>
      </c>
      <c r="O23" s="96"/>
      <c r="P23" s="96"/>
      <c r="Q23" s="97"/>
      <c r="R23" s="93"/>
      <c r="S23" s="94"/>
      <c r="T23" s="13" t="str">
        <f t="shared" si="0"/>
        <v xml:space="preserve">  </v>
      </c>
    </row>
    <row r="24" spans="2:20" ht="14.25" customHeight="1" x14ac:dyDescent="0.3">
      <c r="B24" s="8"/>
      <c r="C24" s="8"/>
      <c r="D24" s="8"/>
      <c r="E24" s="18"/>
      <c r="F24" s="18"/>
      <c r="G24" s="18"/>
      <c r="H24" s="18"/>
      <c r="I24" s="19"/>
      <c r="J24" s="19"/>
      <c r="K24" s="8"/>
      <c r="L24" s="20"/>
      <c r="M24" s="20"/>
      <c r="N24" s="8"/>
      <c r="O24" s="19"/>
      <c r="P24" s="19"/>
      <c r="Q24" s="19"/>
      <c r="R24" s="19"/>
      <c r="S24" s="8"/>
    </row>
    <row r="25" spans="2:20" ht="14.25" customHeight="1" x14ac:dyDescent="0.4">
      <c r="B25" s="75" t="s">
        <v>18</v>
      </c>
      <c r="C25" s="76"/>
      <c r="D25" s="76"/>
      <c r="E25" s="76"/>
      <c r="F25" s="76"/>
      <c r="G25" s="76"/>
      <c r="H25" s="20"/>
      <c r="I25" s="20"/>
      <c r="J25" s="20"/>
      <c r="K25" s="20"/>
      <c r="L25" s="77"/>
      <c r="M25" s="71"/>
      <c r="N25" s="20"/>
      <c r="O25" s="20"/>
      <c r="P25" s="20"/>
      <c r="Q25" s="20"/>
      <c r="R25" s="20"/>
      <c r="S25" s="20"/>
    </row>
    <row r="26" spans="2:20" ht="21.75" customHeight="1" x14ac:dyDescent="0.3">
      <c r="B26" s="78" t="s">
        <v>19</v>
      </c>
      <c r="C26" s="79"/>
      <c r="D26" s="79"/>
      <c r="E26" s="79"/>
      <c r="F26" s="79"/>
      <c r="G26" s="80"/>
      <c r="H26" s="81" t="s">
        <v>20</v>
      </c>
      <c r="I26" s="80"/>
      <c r="J26" s="78" t="s">
        <v>21</v>
      </c>
      <c r="K26" s="80"/>
      <c r="L26" s="82" t="s">
        <v>22</v>
      </c>
      <c r="M26" s="63"/>
      <c r="N26" s="78" t="s">
        <v>23</v>
      </c>
      <c r="O26" s="79"/>
      <c r="P26" s="78" t="s">
        <v>24</v>
      </c>
      <c r="Q26" s="80"/>
      <c r="R26" s="98" t="s">
        <v>25</v>
      </c>
      <c r="S26" s="63"/>
    </row>
    <row r="27" spans="2:20" ht="73.5" customHeight="1" x14ac:dyDescent="0.3">
      <c r="B27" s="61" t="s">
        <v>26</v>
      </c>
      <c r="C27" s="62"/>
      <c r="D27" s="62"/>
      <c r="E27" s="62"/>
      <c r="F27" s="62"/>
      <c r="G27" s="63"/>
      <c r="H27" s="68"/>
      <c r="I27" s="63"/>
      <c r="J27" s="68"/>
      <c r="K27" s="63"/>
      <c r="L27" s="68"/>
      <c r="M27" s="63"/>
      <c r="N27" s="68"/>
      <c r="O27" s="63"/>
      <c r="P27" s="68"/>
      <c r="Q27" s="63"/>
      <c r="R27" s="68"/>
      <c r="S27" s="63"/>
    </row>
    <row r="28" spans="2:20" ht="73.5" customHeight="1" x14ac:dyDescent="0.3">
      <c r="B28" s="61" t="s">
        <v>27</v>
      </c>
      <c r="C28" s="62"/>
      <c r="D28" s="62"/>
      <c r="E28" s="62"/>
      <c r="F28" s="62"/>
      <c r="G28" s="63"/>
      <c r="H28" s="68"/>
      <c r="I28" s="63"/>
      <c r="J28" s="68"/>
      <c r="K28" s="63"/>
      <c r="L28" s="68"/>
      <c r="M28" s="63"/>
      <c r="N28" s="68"/>
      <c r="O28" s="63"/>
      <c r="P28" s="68"/>
      <c r="Q28" s="63"/>
      <c r="R28" s="68"/>
      <c r="S28" s="63"/>
    </row>
    <row r="29" spans="2:20" ht="73.5" customHeight="1" x14ac:dyDescent="0.3">
      <c r="B29" s="61" t="s">
        <v>28</v>
      </c>
      <c r="C29" s="62"/>
      <c r="D29" s="62"/>
      <c r="E29" s="62"/>
      <c r="F29" s="62"/>
      <c r="G29" s="63"/>
      <c r="H29" s="68"/>
      <c r="I29" s="63"/>
      <c r="J29" s="68"/>
      <c r="K29" s="63"/>
      <c r="L29" s="68"/>
      <c r="M29" s="63"/>
      <c r="N29" s="68"/>
      <c r="O29" s="63"/>
      <c r="P29" s="68"/>
      <c r="Q29" s="63"/>
      <c r="R29" s="68"/>
      <c r="S29" s="63"/>
    </row>
    <row r="30" spans="2:20" ht="73.5" customHeight="1" x14ac:dyDescent="0.3">
      <c r="B30" s="61" t="s">
        <v>29</v>
      </c>
      <c r="C30" s="62"/>
      <c r="D30" s="62"/>
      <c r="E30" s="62"/>
      <c r="F30" s="62"/>
      <c r="G30" s="63"/>
      <c r="H30" s="68"/>
      <c r="I30" s="63"/>
      <c r="J30" s="68"/>
      <c r="K30" s="63"/>
      <c r="L30" s="68"/>
      <c r="M30" s="63"/>
      <c r="N30" s="68"/>
      <c r="O30" s="63"/>
      <c r="P30" s="100"/>
      <c r="Q30" s="63"/>
      <c r="R30" s="68"/>
      <c r="S30" s="63"/>
    </row>
    <row r="31" spans="2:20" ht="73.5" customHeight="1" x14ac:dyDescent="0.3">
      <c r="B31" s="61" t="s">
        <v>30</v>
      </c>
      <c r="C31" s="62"/>
      <c r="D31" s="62"/>
      <c r="E31" s="62"/>
      <c r="F31" s="62"/>
      <c r="G31" s="63"/>
      <c r="H31" s="68"/>
      <c r="I31" s="63"/>
      <c r="J31" s="68"/>
      <c r="K31" s="63"/>
      <c r="L31" s="68"/>
      <c r="M31" s="63"/>
      <c r="N31" s="68"/>
      <c r="O31" s="63"/>
      <c r="P31" s="68"/>
      <c r="Q31" s="63"/>
      <c r="R31" s="68"/>
      <c r="S31" s="63"/>
    </row>
    <row r="32" spans="2:20" ht="73.5" customHeight="1" x14ac:dyDescent="0.3">
      <c r="B32" s="61" t="s">
        <v>31</v>
      </c>
      <c r="C32" s="62"/>
      <c r="D32" s="62"/>
      <c r="E32" s="62"/>
      <c r="F32" s="62"/>
      <c r="G32" s="63"/>
      <c r="H32" s="68"/>
      <c r="I32" s="63"/>
      <c r="J32" s="68"/>
      <c r="K32" s="63"/>
      <c r="L32" s="68"/>
      <c r="M32" s="63"/>
      <c r="N32" s="68"/>
      <c r="O32" s="63"/>
      <c r="P32" s="68"/>
      <c r="Q32" s="63"/>
      <c r="R32" s="68"/>
      <c r="S32" s="63"/>
    </row>
    <row r="33" spans="2:19" ht="73.5" customHeight="1" x14ac:dyDescent="0.3">
      <c r="B33" s="61" t="s">
        <v>32</v>
      </c>
      <c r="C33" s="62"/>
      <c r="D33" s="62"/>
      <c r="E33" s="62"/>
      <c r="F33" s="62"/>
      <c r="G33" s="63"/>
      <c r="H33" s="68"/>
      <c r="I33" s="63"/>
      <c r="J33" s="68"/>
      <c r="K33" s="63"/>
      <c r="L33" s="68"/>
      <c r="M33" s="63"/>
      <c r="N33" s="68"/>
      <c r="O33" s="63"/>
      <c r="P33" s="68"/>
      <c r="Q33" s="63"/>
      <c r="R33" s="68"/>
      <c r="S33" s="63"/>
    </row>
    <row r="34" spans="2:19" ht="73.5" customHeight="1" x14ac:dyDescent="0.3">
      <c r="B34" s="61" t="s">
        <v>33</v>
      </c>
      <c r="C34" s="62"/>
      <c r="D34" s="62"/>
      <c r="E34" s="62"/>
      <c r="F34" s="62"/>
      <c r="G34" s="63"/>
      <c r="H34" s="68"/>
      <c r="I34" s="63"/>
      <c r="J34" s="68"/>
      <c r="K34" s="63"/>
      <c r="L34" s="68"/>
      <c r="M34" s="63"/>
      <c r="N34" s="68"/>
      <c r="O34" s="63"/>
      <c r="P34" s="68"/>
      <c r="Q34" s="63"/>
      <c r="R34" s="68"/>
      <c r="S34" s="63"/>
    </row>
    <row r="35" spans="2:19" ht="73.5" customHeight="1" x14ac:dyDescent="0.3">
      <c r="B35" s="61" t="s">
        <v>34</v>
      </c>
      <c r="C35" s="62"/>
      <c r="D35" s="62"/>
      <c r="E35" s="62"/>
      <c r="F35" s="62"/>
      <c r="G35" s="63"/>
      <c r="H35" s="68"/>
      <c r="I35" s="63"/>
      <c r="J35" s="68"/>
      <c r="K35" s="63"/>
      <c r="L35" s="68"/>
      <c r="M35" s="63"/>
      <c r="N35" s="68"/>
      <c r="O35" s="63"/>
      <c r="P35" s="68"/>
      <c r="Q35" s="63"/>
      <c r="R35" s="68"/>
      <c r="S35" s="63"/>
    </row>
    <row r="36" spans="2:19" ht="73.5" customHeight="1" x14ac:dyDescent="0.3">
      <c r="B36" s="61" t="s">
        <v>35</v>
      </c>
      <c r="C36" s="62"/>
      <c r="D36" s="62"/>
      <c r="E36" s="62"/>
      <c r="F36" s="62"/>
      <c r="G36" s="63"/>
      <c r="H36" s="68"/>
      <c r="I36" s="63"/>
      <c r="J36" s="68"/>
      <c r="K36" s="63"/>
      <c r="L36" s="68"/>
      <c r="M36" s="63"/>
      <c r="N36" s="68"/>
      <c r="O36" s="63"/>
      <c r="P36" s="68"/>
      <c r="Q36" s="63"/>
      <c r="R36" s="68"/>
      <c r="S36" s="63"/>
    </row>
    <row r="37" spans="2:19" ht="73.5" customHeight="1" x14ac:dyDescent="0.3">
      <c r="B37" s="61" t="s">
        <v>36</v>
      </c>
      <c r="C37" s="62"/>
      <c r="D37" s="62"/>
      <c r="E37" s="62"/>
      <c r="F37" s="62"/>
      <c r="G37" s="63"/>
      <c r="H37" s="68"/>
      <c r="I37" s="63"/>
      <c r="J37" s="68"/>
      <c r="K37" s="63"/>
      <c r="L37" s="68"/>
      <c r="M37" s="63"/>
      <c r="N37" s="68"/>
      <c r="O37" s="63"/>
      <c r="P37" s="68"/>
      <c r="Q37" s="63"/>
      <c r="R37" s="68"/>
      <c r="S37" s="63"/>
    </row>
    <row r="38" spans="2:19" ht="73.5" customHeight="1" x14ac:dyDescent="0.3">
      <c r="B38" s="61" t="s">
        <v>37</v>
      </c>
      <c r="C38" s="62"/>
      <c r="D38" s="62"/>
      <c r="E38" s="62"/>
      <c r="F38" s="62"/>
      <c r="G38" s="63"/>
      <c r="H38" s="68"/>
      <c r="I38" s="63"/>
      <c r="J38" s="68"/>
      <c r="K38" s="63"/>
      <c r="L38" s="68"/>
      <c r="M38" s="63"/>
      <c r="N38" s="68"/>
      <c r="O38" s="63"/>
      <c r="P38" s="68"/>
      <c r="Q38" s="63"/>
      <c r="R38" s="68"/>
      <c r="S38" s="63"/>
    </row>
    <row r="39" spans="2:19" ht="73.5" customHeight="1" x14ac:dyDescent="0.3">
      <c r="B39" s="61" t="s">
        <v>38</v>
      </c>
      <c r="C39" s="62"/>
      <c r="D39" s="62"/>
      <c r="E39" s="62"/>
      <c r="F39" s="62"/>
      <c r="G39" s="63"/>
      <c r="H39" s="68"/>
      <c r="I39" s="63"/>
      <c r="J39" s="68"/>
      <c r="K39" s="63"/>
      <c r="L39" s="68"/>
      <c r="M39" s="63"/>
      <c r="N39" s="68"/>
      <c r="O39" s="63"/>
      <c r="P39" s="68"/>
      <c r="Q39" s="63"/>
      <c r="R39" s="68"/>
      <c r="S39" s="63"/>
    </row>
    <row r="40" spans="2:19" ht="73.5" customHeight="1" x14ac:dyDescent="0.3">
      <c r="B40" s="61" t="s">
        <v>39</v>
      </c>
      <c r="C40" s="62"/>
      <c r="D40" s="62"/>
      <c r="E40" s="62"/>
      <c r="F40" s="62"/>
      <c r="G40" s="63"/>
      <c r="H40" s="68"/>
      <c r="I40" s="63"/>
      <c r="J40" s="68"/>
      <c r="K40" s="63"/>
      <c r="L40" s="68"/>
      <c r="M40" s="63"/>
      <c r="N40" s="68"/>
      <c r="O40" s="63"/>
      <c r="P40" s="68"/>
      <c r="Q40" s="63"/>
      <c r="R40" s="68"/>
      <c r="S40" s="63"/>
    </row>
    <row r="41" spans="2:19" ht="73.5" customHeight="1" x14ac:dyDescent="0.3">
      <c r="B41" s="61" t="s">
        <v>40</v>
      </c>
      <c r="C41" s="62"/>
      <c r="D41" s="62"/>
      <c r="E41" s="62"/>
      <c r="F41" s="62"/>
      <c r="G41" s="63"/>
      <c r="H41" s="68"/>
      <c r="I41" s="63"/>
      <c r="J41" s="68"/>
      <c r="K41" s="63"/>
      <c r="L41" s="68"/>
      <c r="M41" s="63"/>
      <c r="N41" s="68"/>
      <c r="O41" s="63"/>
      <c r="P41" s="68"/>
      <c r="Q41" s="63"/>
      <c r="R41" s="68"/>
      <c r="S41" s="63"/>
    </row>
    <row r="42" spans="2:19" ht="15" customHeight="1" x14ac:dyDescent="0.3">
      <c r="B42" s="8"/>
      <c r="C42" s="8"/>
      <c r="D42" s="8"/>
      <c r="E42" s="18"/>
      <c r="F42" s="18"/>
      <c r="G42" s="21"/>
      <c r="H42" s="21"/>
      <c r="I42" s="19"/>
      <c r="J42" s="19"/>
      <c r="K42" s="19"/>
      <c r="L42" s="85"/>
      <c r="M42" s="71"/>
      <c r="N42" s="19"/>
      <c r="O42" s="19"/>
      <c r="P42" s="19"/>
      <c r="Q42" s="19"/>
      <c r="R42" s="19"/>
      <c r="S42" s="19"/>
    </row>
    <row r="43" spans="2:19" ht="7.5" customHeight="1" x14ac:dyDescent="0.3">
      <c r="B43" s="8"/>
      <c r="C43" s="8"/>
      <c r="D43" s="8"/>
      <c r="E43" s="18"/>
      <c r="F43" s="18"/>
      <c r="G43" s="21"/>
      <c r="H43" s="21"/>
      <c r="I43" s="19"/>
      <c r="J43" s="19"/>
      <c r="K43" s="19"/>
      <c r="L43" s="22"/>
      <c r="M43" s="22"/>
      <c r="N43" s="19"/>
      <c r="O43" s="19"/>
      <c r="P43" s="19"/>
      <c r="Q43" s="19"/>
      <c r="R43" s="19"/>
      <c r="S43" s="19"/>
    </row>
    <row r="44" spans="2:19" ht="14.25" customHeight="1" x14ac:dyDescent="0.35">
      <c r="C44" s="74"/>
      <c r="D44" s="71"/>
      <c r="E44" s="71"/>
      <c r="F44" s="71"/>
      <c r="G44" s="71"/>
      <c r="H44" s="71"/>
      <c r="I44" s="7"/>
      <c r="J44" s="7"/>
      <c r="K44" s="7"/>
      <c r="L44" s="7"/>
      <c r="M44" s="7"/>
      <c r="N44" s="74"/>
      <c r="O44" s="71"/>
      <c r="P44" s="71"/>
      <c r="Q44" s="71"/>
      <c r="R44" s="71"/>
      <c r="S44" s="23"/>
    </row>
    <row r="45" spans="2:19" ht="13.5" customHeight="1" x14ac:dyDescent="0.35">
      <c r="C45" s="7"/>
      <c r="D45" s="7"/>
      <c r="E45" s="7"/>
      <c r="F45" s="7"/>
      <c r="G45" s="24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8"/>
    </row>
    <row r="46" spans="2:19" ht="21" customHeight="1" x14ac:dyDescent="0.35">
      <c r="C46" s="83" t="s">
        <v>41</v>
      </c>
      <c r="D46" s="84"/>
      <c r="E46" s="84"/>
      <c r="F46" s="84"/>
      <c r="G46" s="84"/>
      <c r="H46" s="84"/>
      <c r="I46" s="84"/>
      <c r="J46" s="7"/>
      <c r="K46" s="7"/>
      <c r="L46" s="7"/>
      <c r="M46" s="7"/>
      <c r="N46" s="83" t="str">
        <f>B10</f>
        <v xml:space="preserve"> </v>
      </c>
      <c r="O46" s="84"/>
      <c r="P46" s="84"/>
      <c r="Q46" s="84"/>
      <c r="R46" s="84"/>
      <c r="S46" s="25"/>
    </row>
    <row r="47" spans="2:19" ht="14.25" customHeight="1" x14ac:dyDescent="0.35">
      <c r="C47" s="70" t="s">
        <v>42</v>
      </c>
      <c r="D47" s="71"/>
      <c r="E47" s="71"/>
      <c r="F47" s="71"/>
      <c r="G47" s="71"/>
      <c r="H47" s="71"/>
      <c r="I47" s="71"/>
      <c r="J47" s="7"/>
      <c r="K47" s="7"/>
      <c r="L47" s="7"/>
      <c r="M47" s="7"/>
      <c r="N47" s="72" t="s">
        <v>43</v>
      </c>
      <c r="O47" s="73"/>
      <c r="P47" s="73"/>
      <c r="Q47" s="73"/>
      <c r="R47" s="73"/>
      <c r="S47" s="26"/>
    </row>
    <row r="48" spans="2:19" ht="14.25" customHeight="1" x14ac:dyDescent="0.35">
      <c r="B48" s="27"/>
      <c r="C48" s="74"/>
      <c r="D48" s="71"/>
      <c r="E48" s="71"/>
      <c r="F48" s="71"/>
      <c r="G48" s="71"/>
      <c r="H48" s="71"/>
      <c r="I48" s="7"/>
      <c r="J48" s="28"/>
      <c r="K48" s="28"/>
      <c r="L48" s="28"/>
      <c r="M48" s="28"/>
      <c r="N48" s="71"/>
      <c r="O48" s="71"/>
      <c r="P48" s="71"/>
      <c r="Q48" s="71"/>
      <c r="R48" s="71"/>
      <c r="S48" s="27"/>
    </row>
    <row r="50" spans="3:9" ht="14.25" customHeight="1" x14ac:dyDescent="0.3">
      <c r="C50" s="70"/>
      <c r="D50" s="71"/>
      <c r="E50" s="71"/>
      <c r="F50" s="71"/>
      <c r="G50" s="71"/>
      <c r="H50" s="71"/>
      <c r="I50" s="71"/>
    </row>
    <row r="51" spans="3:9" ht="14.25" customHeight="1" x14ac:dyDescent="0.3">
      <c r="C51" s="70"/>
      <c r="D51" s="71"/>
      <c r="E51" s="71"/>
      <c r="F51" s="71"/>
      <c r="G51" s="71"/>
      <c r="H51" s="71"/>
      <c r="I51" s="71"/>
    </row>
  </sheetData>
  <mergeCells count="163">
    <mergeCell ref="B1:S1"/>
    <mergeCell ref="B2:S2"/>
    <mergeCell ref="B3:S3"/>
    <mergeCell ref="B4:S4"/>
    <mergeCell ref="I5:S5"/>
    <mergeCell ref="I6:S6"/>
    <mergeCell ref="I7:S7"/>
    <mergeCell ref="H15:K15"/>
    <mergeCell ref="H16:K16"/>
    <mergeCell ref="N15:Q15"/>
    <mergeCell ref="N16:Q16"/>
    <mergeCell ref="M8:S8"/>
    <mergeCell ref="N10:S10"/>
    <mergeCell ref="N11:S11"/>
    <mergeCell ref="B13:S13"/>
    <mergeCell ref="N14:Q14"/>
    <mergeCell ref="R14:S14"/>
    <mergeCell ref="B5:H7"/>
    <mergeCell ref="B8:K8"/>
    <mergeCell ref="B10:K10"/>
    <mergeCell ref="B11:K11"/>
    <mergeCell ref="B14:C23"/>
    <mergeCell ref="D14:G23"/>
    <mergeCell ref="H14:K14"/>
    <mergeCell ref="H17:K17"/>
    <mergeCell ref="H18:K18"/>
    <mergeCell ref="N17:Q17"/>
    <mergeCell ref="N18:Q18"/>
    <mergeCell ref="H19:K19"/>
    <mergeCell ref="H20:K20"/>
    <mergeCell ref="N19:Q19"/>
    <mergeCell ref="N20:Q20"/>
    <mergeCell ref="N44:R44"/>
    <mergeCell ref="P31:Q31"/>
    <mergeCell ref="R31:S31"/>
    <mergeCell ref="N32:O32"/>
    <mergeCell ref="P32:Q32"/>
    <mergeCell ref="R32:S32"/>
    <mergeCell ref="L33:M33"/>
    <mergeCell ref="N33:O33"/>
    <mergeCell ref="P33:Q33"/>
    <mergeCell ref="R33:S33"/>
    <mergeCell ref="N46:R46"/>
    <mergeCell ref="H41:I41"/>
    <mergeCell ref="J41:K41"/>
    <mergeCell ref="L41:M41"/>
    <mergeCell ref="N41:O41"/>
    <mergeCell ref="P41:Q41"/>
    <mergeCell ref="R41:S41"/>
    <mergeCell ref="L42:M42"/>
    <mergeCell ref="H21:K21"/>
    <mergeCell ref="H22:K22"/>
    <mergeCell ref="N21:Q21"/>
    <mergeCell ref="N22:Q22"/>
    <mergeCell ref="R15:S23"/>
    <mergeCell ref="N23:Q23"/>
    <mergeCell ref="N26:O26"/>
    <mergeCell ref="P26:Q26"/>
    <mergeCell ref="R26:S26"/>
    <mergeCell ref="H23:K23"/>
    <mergeCell ref="P29:Q29"/>
    <mergeCell ref="R29:S29"/>
    <mergeCell ref="N30:O30"/>
    <mergeCell ref="P30:Q30"/>
    <mergeCell ref="R30:S30"/>
    <mergeCell ref="N31:O31"/>
    <mergeCell ref="B25:G25"/>
    <mergeCell ref="L25:M25"/>
    <mergeCell ref="B26:G26"/>
    <mergeCell ref="H26:I26"/>
    <mergeCell ref="J26:K26"/>
    <mergeCell ref="L26:M26"/>
    <mergeCell ref="B41:G41"/>
    <mergeCell ref="C44:H44"/>
    <mergeCell ref="C46:I46"/>
    <mergeCell ref="B30:G30"/>
    <mergeCell ref="H30:I30"/>
    <mergeCell ref="J30:K30"/>
    <mergeCell ref="L30:M30"/>
    <mergeCell ref="B31:G31"/>
    <mergeCell ref="H31:I31"/>
    <mergeCell ref="J31:K31"/>
    <mergeCell ref="L31:M31"/>
    <mergeCell ref="B32:G32"/>
    <mergeCell ref="H32:I32"/>
    <mergeCell ref="J32:K32"/>
    <mergeCell ref="L32:M32"/>
    <mergeCell ref="B33:G33"/>
    <mergeCell ref="H33:I33"/>
    <mergeCell ref="J33:K33"/>
    <mergeCell ref="C47:I47"/>
    <mergeCell ref="N47:R48"/>
    <mergeCell ref="C48:H48"/>
    <mergeCell ref="C50:I50"/>
    <mergeCell ref="C51:I51"/>
    <mergeCell ref="B27:G27"/>
    <mergeCell ref="H27:I27"/>
    <mergeCell ref="J27:K27"/>
    <mergeCell ref="L27:M27"/>
    <mergeCell ref="N27:O27"/>
    <mergeCell ref="P27:Q27"/>
    <mergeCell ref="R27:S27"/>
    <mergeCell ref="B28:G28"/>
    <mergeCell ref="H28:I28"/>
    <mergeCell ref="J28:K28"/>
    <mergeCell ref="L28:M28"/>
    <mergeCell ref="N28:O28"/>
    <mergeCell ref="P28:Q28"/>
    <mergeCell ref="R28:S28"/>
    <mergeCell ref="B29:G29"/>
    <mergeCell ref="H29:I29"/>
    <mergeCell ref="J29:K29"/>
    <mergeCell ref="L29:M29"/>
    <mergeCell ref="N29:O29"/>
    <mergeCell ref="B34:G34"/>
    <mergeCell ref="H34:I34"/>
    <mergeCell ref="J34:K34"/>
    <mergeCell ref="L34:M34"/>
    <mergeCell ref="N34:O34"/>
    <mergeCell ref="P34:Q34"/>
    <mergeCell ref="R34:S34"/>
    <mergeCell ref="B35:G35"/>
    <mergeCell ref="H35:I35"/>
    <mergeCell ref="J35:K35"/>
    <mergeCell ref="L35:M35"/>
    <mergeCell ref="N35:O35"/>
    <mergeCell ref="P35:Q35"/>
    <mergeCell ref="R35:S35"/>
    <mergeCell ref="B36:G36"/>
    <mergeCell ref="H36:I36"/>
    <mergeCell ref="J36:K36"/>
    <mergeCell ref="L36:M36"/>
    <mergeCell ref="N36:O36"/>
    <mergeCell ref="P36:Q36"/>
    <mergeCell ref="R36:S36"/>
    <mergeCell ref="B37:G37"/>
    <mergeCell ref="H37:I37"/>
    <mergeCell ref="J37:K37"/>
    <mergeCell ref="L37:M37"/>
    <mergeCell ref="N37:O37"/>
    <mergeCell ref="P37:Q37"/>
    <mergeCell ref="R37:S37"/>
    <mergeCell ref="B40:G40"/>
    <mergeCell ref="H40:I40"/>
    <mergeCell ref="J40:K40"/>
    <mergeCell ref="L40:M40"/>
    <mergeCell ref="N40:O40"/>
    <mergeCell ref="P40:Q40"/>
    <mergeCell ref="R40:S40"/>
    <mergeCell ref="B38:G38"/>
    <mergeCell ref="H38:I38"/>
    <mergeCell ref="J38:K38"/>
    <mergeCell ref="L38:M38"/>
    <mergeCell ref="N38:O38"/>
    <mergeCell ref="P38:Q38"/>
    <mergeCell ref="R38:S38"/>
    <mergeCell ref="B39:G39"/>
    <mergeCell ref="H39:I39"/>
    <mergeCell ref="J39:K39"/>
    <mergeCell ref="L39:M39"/>
    <mergeCell ref="N39:O39"/>
    <mergeCell ref="P39:Q39"/>
    <mergeCell ref="R39:S39"/>
  </mergeCells>
  <conditionalFormatting sqref="L15:L23">
    <cfRule type="cellIs" dxfId="1" priority="1" operator="equal">
      <formula>0</formula>
    </cfRule>
  </conditionalFormatting>
  <conditionalFormatting sqref="N15:N23">
    <cfRule type="cellIs" dxfId="0" priority="2" operator="equal">
      <formula>0</formula>
    </cfRule>
  </conditionalFormatting>
  <dataValidations count="1">
    <dataValidation type="list" allowBlank="1" sqref="H27:H41 J27:J41 L27:L41 N27:N41 P27:P41 R27:R41" xr:uid="{00000000-0002-0000-2100-000000000000}">
      <formula1>$T$15:$T$23</formula1>
    </dataValidation>
  </dataValidations>
  <printOptions horizontalCentered="1"/>
  <pageMargins left="0.25" right="0.25" top="0.75" bottom="0.75" header="0" footer="0"/>
  <pageSetup scale="3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2100-000001000000}">
          <x14:formula1>
            <xm:f>z_2_Maestros!$B$2:$B$304</xm:f>
          </x14:formula1>
          <xm:sqref>B10</xm:sqref>
        </x14:dataValidation>
        <x14:dataValidation type="list" allowBlank="1" xr:uid="{00000000-0002-0000-2100-000002000000}">
          <x14:formula1>
            <xm:f>z_3_Materias!$A$2:$A$508</xm:f>
          </x14:formula1>
          <xm:sqref>H15:H23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4"/>
  <dimension ref="A1:E206"/>
  <sheetViews>
    <sheetView workbookViewId="0">
      <selection activeCell="J30" sqref="J30:K30"/>
    </sheetView>
  </sheetViews>
  <sheetFormatPr baseColWidth="10" defaultColWidth="14.44140625" defaultRowHeight="15" customHeight="1" x14ac:dyDescent="0.3"/>
  <cols>
    <col min="1" max="1" width="4" customWidth="1"/>
    <col min="2" max="2" width="37.44140625" customWidth="1"/>
    <col min="3" max="3" width="5.44140625" customWidth="1"/>
    <col min="4" max="4" width="11.44140625" customWidth="1"/>
    <col min="5" max="7" width="10.6640625" customWidth="1"/>
    <col min="8" max="19" width="17.44140625" customWidth="1"/>
    <col min="20" max="26" width="10.6640625" customWidth="1"/>
  </cols>
  <sheetData>
    <row r="1" spans="1:5" ht="14.25" customHeight="1" x14ac:dyDescent="0.3">
      <c r="A1" s="13" t="s">
        <v>139</v>
      </c>
      <c r="B1" s="13" t="s">
        <v>140</v>
      </c>
      <c r="C1" s="13" t="s">
        <v>141</v>
      </c>
      <c r="D1" s="13" t="s">
        <v>142</v>
      </c>
      <c r="E1" s="13" t="s">
        <v>143</v>
      </c>
    </row>
    <row r="2" spans="1:5" ht="14.25" customHeight="1" x14ac:dyDescent="0.3">
      <c r="A2" s="13">
        <v>1</v>
      </c>
      <c r="B2" s="29" t="s">
        <v>3</v>
      </c>
      <c r="C2" s="30" t="s">
        <v>144</v>
      </c>
      <c r="D2" s="31" t="s">
        <v>145</v>
      </c>
      <c r="E2" s="32"/>
    </row>
    <row r="3" spans="1:5" ht="14.25" customHeight="1" x14ac:dyDescent="0.3">
      <c r="A3" s="13">
        <v>2</v>
      </c>
      <c r="B3" s="29" t="s">
        <v>44</v>
      </c>
      <c r="C3" s="30" t="s">
        <v>144</v>
      </c>
      <c r="D3" s="31" t="s">
        <v>145</v>
      </c>
      <c r="E3" s="32"/>
    </row>
    <row r="4" spans="1:5" ht="14.25" customHeight="1" x14ac:dyDescent="0.3">
      <c r="A4" s="13">
        <v>3</v>
      </c>
      <c r="B4" s="29" t="s">
        <v>51</v>
      </c>
      <c r="C4" s="30" t="s">
        <v>144</v>
      </c>
      <c r="D4" s="31" t="s">
        <v>146</v>
      </c>
      <c r="E4" s="32"/>
    </row>
    <row r="5" spans="1:5" ht="14.25" customHeight="1" x14ac:dyDescent="0.3">
      <c r="A5" s="13"/>
      <c r="B5" s="29" t="s">
        <v>510</v>
      </c>
      <c r="C5" s="30" t="s">
        <v>144</v>
      </c>
      <c r="D5" s="31" t="s">
        <v>145</v>
      </c>
      <c r="E5" s="32"/>
    </row>
    <row r="6" spans="1:5" ht="14.25" customHeight="1" x14ac:dyDescent="0.3">
      <c r="A6" s="13">
        <v>4</v>
      </c>
      <c r="B6" s="29" t="s">
        <v>147</v>
      </c>
      <c r="C6" s="30" t="s">
        <v>144</v>
      </c>
      <c r="D6" s="31" t="s">
        <v>146</v>
      </c>
      <c r="E6" s="32"/>
    </row>
    <row r="7" spans="1:5" ht="14.25" customHeight="1" x14ac:dyDescent="0.3">
      <c r="A7" s="13">
        <v>5</v>
      </c>
      <c r="B7" s="29" t="s">
        <v>52</v>
      </c>
      <c r="C7" s="30" t="s">
        <v>144</v>
      </c>
      <c r="D7" s="31" t="s">
        <v>145</v>
      </c>
      <c r="E7" s="32"/>
    </row>
    <row r="8" spans="1:5" ht="14.25" customHeight="1" x14ac:dyDescent="0.3">
      <c r="A8" s="13">
        <v>6</v>
      </c>
      <c r="B8" s="29" t="s">
        <v>148</v>
      </c>
      <c r="C8" s="30" t="s">
        <v>144</v>
      </c>
      <c r="D8" s="31" t="s">
        <v>145</v>
      </c>
      <c r="E8" s="32"/>
    </row>
    <row r="9" spans="1:5" ht="14.25" customHeight="1" x14ac:dyDescent="0.3">
      <c r="A9" s="13">
        <v>7</v>
      </c>
      <c r="B9" s="29" t="s">
        <v>54</v>
      </c>
      <c r="C9" s="30" t="s">
        <v>144</v>
      </c>
      <c r="D9" s="31" t="s">
        <v>145</v>
      </c>
      <c r="E9" s="32"/>
    </row>
    <row r="10" spans="1:5" ht="14.25" customHeight="1" x14ac:dyDescent="0.3">
      <c r="A10" s="13">
        <v>8</v>
      </c>
      <c r="B10" s="29" t="s">
        <v>57</v>
      </c>
      <c r="C10" s="30" t="s">
        <v>144</v>
      </c>
      <c r="D10" s="31" t="s">
        <v>145</v>
      </c>
      <c r="E10" s="32"/>
    </row>
    <row r="11" spans="1:5" ht="14.25" customHeight="1" x14ac:dyDescent="0.3">
      <c r="A11" s="13">
        <v>9</v>
      </c>
      <c r="B11" s="29" t="s">
        <v>149</v>
      </c>
      <c r="C11" s="30" t="s">
        <v>144</v>
      </c>
      <c r="D11" s="31" t="s">
        <v>145</v>
      </c>
      <c r="E11" s="32"/>
    </row>
    <row r="12" spans="1:5" ht="14.25" customHeight="1" x14ac:dyDescent="0.3">
      <c r="A12" s="13">
        <v>10</v>
      </c>
      <c r="B12" s="29" t="s">
        <v>62</v>
      </c>
      <c r="C12" s="30" t="s">
        <v>144</v>
      </c>
      <c r="D12" s="31" t="s">
        <v>145</v>
      </c>
      <c r="E12" s="32"/>
    </row>
    <row r="13" spans="1:5" ht="14.25" customHeight="1" x14ac:dyDescent="0.3">
      <c r="A13" s="13">
        <v>11</v>
      </c>
      <c r="B13" s="29" t="s">
        <v>64</v>
      </c>
      <c r="C13" s="30" t="s">
        <v>144</v>
      </c>
      <c r="D13" s="31" t="s">
        <v>146</v>
      </c>
      <c r="E13" s="32"/>
    </row>
    <row r="14" spans="1:5" ht="14.25" customHeight="1" x14ac:dyDescent="0.3">
      <c r="A14" s="13">
        <v>12</v>
      </c>
      <c r="B14" s="29" t="s">
        <v>66</v>
      </c>
      <c r="C14" s="30" t="s">
        <v>144</v>
      </c>
      <c r="D14" s="31" t="s">
        <v>145</v>
      </c>
      <c r="E14" s="32"/>
    </row>
    <row r="15" spans="1:5" ht="14.25" customHeight="1" x14ac:dyDescent="0.3">
      <c r="A15" s="13">
        <v>13</v>
      </c>
      <c r="B15" s="29" t="s">
        <v>69</v>
      </c>
      <c r="C15" s="30" t="s">
        <v>144</v>
      </c>
      <c r="D15" s="31" t="s">
        <v>145</v>
      </c>
      <c r="E15" s="32"/>
    </row>
    <row r="16" spans="1:5" ht="14.25" customHeight="1" x14ac:dyDescent="0.3">
      <c r="A16" s="13">
        <v>14</v>
      </c>
      <c r="B16" s="29" t="s">
        <v>73</v>
      </c>
      <c r="C16" s="30" t="s">
        <v>144</v>
      </c>
      <c r="D16" s="31" t="s">
        <v>145</v>
      </c>
      <c r="E16" s="32"/>
    </row>
    <row r="17" spans="1:5" ht="14.25" customHeight="1" x14ac:dyDescent="0.3">
      <c r="A17" s="13">
        <v>15</v>
      </c>
      <c r="B17" s="29" t="s">
        <v>76</v>
      </c>
      <c r="C17" s="30" t="s">
        <v>144</v>
      </c>
      <c r="D17" s="31" t="s">
        <v>145</v>
      </c>
      <c r="E17" s="32"/>
    </row>
    <row r="18" spans="1:5" ht="14.25" customHeight="1" x14ac:dyDescent="0.3">
      <c r="A18" s="13">
        <v>16</v>
      </c>
      <c r="B18" s="29" t="s">
        <v>81</v>
      </c>
      <c r="C18" s="30" t="s">
        <v>144</v>
      </c>
      <c r="D18" s="31" t="s">
        <v>145</v>
      </c>
      <c r="E18" s="32"/>
    </row>
    <row r="19" spans="1:5" ht="14.25" customHeight="1" x14ac:dyDescent="0.3">
      <c r="A19" s="13">
        <v>17</v>
      </c>
      <c r="B19" s="29" t="s">
        <v>84</v>
      </c>
      <c r="C19" s="30" t="s">
        <v>144</v>
      </c>
      <c r="D19" s="31" t="s">
        <v>145</v>
      </c>
      <c r="E19" s="32"/>
    </row>
    <row r="20" spans="1:5" ht="14.25" customHeight="1" x14ac:dyDescent="0.3">
      <c r="A20" s="13">
        <v>18</v>
      </c>
      <c r="B20" s="29" t="s">
        <v>86</v>
      </c>
      <c r="C20" s="30" t="s">
        <v>144</v>
      </c>
      <c r="D20" s="31" t="s">
        <v>145</v>
      </c>
      <c r="E20" s="32"/>
    </row>
    <row r="21" spans="1:5" ht="14.25" customHeight="1" x14ac:dyDescent="0.3">
      <c r="A21" s="13">
        <v>19</v>
      </c>
      <c r="B21" s="29" t="s">
        <v>89</v>
      </c>
      <c r="C21" s="30" t="s">
        <v>144</v>
      </c>
      <c r="D21" s="31" t="s">
        <v>150</v>
      </c>
      <c r="E21" s="32"/>
    </row>
    <row r="22" spans="1:5" ht="14.25" customHeight="1" x14ac:dyDescent="0.3">
      <c r="A22" s="13">
        <v>20</v>
      </c>
      <c r="B22" s="29" t="s">
        <v>90</v>
      </c>
      <c r="C22" s="30" t="s">
        <v>144</v>
      </c>
      <c r="D22" s="31" t="s">
        <v>151</v>
      </c>
      <c r="E22" s="32"/>
    </row>
    <row r="23" spans="1:5" ht="14.25" customHeight="1" x14ac:dyDescent="0.3">
      <c r="A23" s="13">
        <v>21</v>
      </c>
      <c r="B23" s="29" t="s">
        <v>93</v>
      </c>
      <c r="C23" s="30" t="s">
        <v>144</v>
      </c>
      <c r="D23" s="31" t="s">
        <v>145</v>
      </c>
      <c r="E23" s="32"/>
    </row>
    <row r="24" spans="1:5" ht="14.25" customHeight="1" x14ac:dyDescent="0.3">
      <c r="A24" s="13">
        <v>22</v>
      </c>
      <c r="B24" s="29" t="s">
        <v>96</v>
      </c>
      <c r="C24" s="30" t="s">
        <v>144</v>
      </c>
      <c r="D24" s="31" t="s">
        <v>145</v>
      </c>
      <c r="E24" s="32"/>
    </row>
    <row r="25" spans="1:5" ht="14.25" customHeight="1" x14ac:dyDescent="0.3">
      <c r="A25" s="13">
        <v>23</v>
      </c>
      <c r="B25" s="29" t="s">
        <v>105</v>
      </c>
      <c r="C25" s="30" t="s">
        <v>144</v>
      </c>
      <c r="D25" s="31" t="s">
        <v>145</v>
      </c>
      <c r="E25" s="32"/>
    </row>
    <row r="26" spans="1:5" ht="14.25" customHeight="1" x14ac:dyDescent="0.3">
      <c r="A26" s="13">
        <v>24</v>
      </c>
      <c r="B26" s="29" t="s">
        <v>109</v>
      </c>
      <c r="C26" s="30" t="s">
        <v>144</v>
      </c>
      <c r="D26" s="31" t="s">
        <v>152</v>
      </c>
      <c r="E26" s="32"/>
    </row>
    <row r="27" spans="1:5" ht="14.25" customHeight="1" x14ac:dyDescent="0.3">
      <c r="A27" s="13">
        <v>25</v>
      </c>
      <c r="B27" s="29" t="s">
        <v>112</v>
      </c>
      <c r="C27" s="30" t="s">
        <v>144</v>
      </c>
      <c r="D27" s="31" t="s">
        <v>145</v>
      </c>
      <c r="E27" s="32"/>
    </row>
    <row r="28" spans="1:5" ht="73.5" customHeight="1" x14ac:dyDescent="0.3">
      <c r="A28" s="13">
        <v>26</v>
      </c>
      <c r="B28" s="29" t="s">
        <v>153</v>
      </c>
      <c r="C28" s="30" t="s">
        <v>144</v>
      </c>
      <c r="D28" s="31" t="s">
        <v>145</v>
      </c>
      <c r="E28" s="32"/>
    </row>
    <row r="29" spans="1:5" ht="73.5" customHeight="1" x14ac:dyDescent="0.3">
      <c r="A29" s="13">
        <v>27</v>
      </c>
      <c r="B29" s="29" t="s">
        <v>114</v>
      </c>
      <c r="C29" s="30" t="s">
        <v>144</v>
      </c>
      <c r="D29" s="31" t="s">
        <v>145</v>
      </c>
      <c r="E29" s="32"/>
    </row>
    <row r="30" spans="1:5" ht="73.5" customHeight="1" x14ac:dyDescent="0.3">
      <c r="A30" s="13">
        <v>28</v>
      </c>
      <c r="B30" s="29" t="s">
        <v>116</v>
      </c>
      <c r="C30" s="30" t="s">
        <v>144</v>
      </c>
      <c r="D30" s="31" t="s">
        <v>154</v>
      </c>
      <c r="E30" s="32"/>
    </row>
    <row r="31" spans="1:5" ht="73.5" customHeight="1" x14ac:dyDescent="0.3">
      <c r="A31" s="13">
        <v>29</v>
      </c>
      <c r="B31" s="29" t="s">
        <v>119</v>
      </c>
      <c r="C31" s="30" t="s">
        <v>144</v>
      </c>
      <c r="D31" s="33" t="s">
        <v>155</v>
      </c>
      <c r="E31" s="32"/>
    </row>
    <row r="32" spans="1:5" ht="73.5" customHeight="1" x14ac:dyDescent="0.3">
      <c r="A32" s="13">
        <v>30</v>
      </c>
      <c r="B32" s="29" t="s">
        <v>121</v>
      </c>
      <c r="C32" s="30" t="s">
        <v>144</v>
      </c>
      <c r="D32" s="31" t="s">
        <v>145</v>
      </c>
      <c r="E32" s="32"/>
    </row>
    <row r="33" spans="1:5" ht="73.5" customHeight="1" x14ac:dyDescent="0.3">
      <c r="A33" s="13">
        <v>31</v>
      </c>
      <c r="B33" s="29" t="s">
        <v>123</v>
      </c>
      <c r="C33" s="30" t="s">
        <v>144</v>
      </c>
      <c r="D33" s="31" t="s">
        <v>145</v>
      </c>
      <c r="E33" s="32"/>
    </row>
    <row r="34" spans="1:5" ht="73.5" customHeight="1" x14ac:dyDescent="0.3">
      <c r="A34" s="13">
        <v>32</v>
      </c>
      <c r="B34" s="29" t="s">
        <v>124</v>
      </c>
      <c r="C34" s="30" t="s">
        <v>144</v>
      </c>
      <c r="D34" s="31" t="s">
        <v>145</v>
      </c>
      <c r="E34" s="32"/>
    </row>
    <row r="35" spans="1:5" ht="73.5" customHeight="1" x14ac:dyDescent="0.3">
      <c r="A35" s="13">
        <v>33</v>
      </c>
      <c r="B35" s="29" t="s">
        <v>128</v>
      </c>
      <c r="C35" s="30" t="s">
        <v>144</v>
      </c>
      <c r="D35" s="31" t="s">
        <v>146</v>
      </c>
      <c r="E35" s="32"/>
    </row>
    <row r="36" spans="1:5" ht="73.5" customHeight="1" x14ac:dyDescent="0.3">
      <c r="A36" s="13">
        <v>34</v>
      </c>
      <c r="B36" s="29" t="s">
        <v>133</v>
      </c>
      <c r="C36" s="30" t="s">
        <v>144</v>
      </c>
      <c r="D36" s="31" t="s">
        <v>151</v>
      </c>
      <c r="E36" s="32"/>
    </row>
    <row r="37" spans="1:5" ht="73.5" customHeight="1" x14ac:dyDescent="0.3">
      <c r="A37" s="13">
        <v>35</v>
      </c>
      <c r="B37" s="29" t="s">
        <v>134</v>
      </c>
      <c r="C37" s="30" t="s">
        <v>144</v>
      </c>
      <c r="D37" s="31" t="s">
        <v>145</v>
      </c>
      <c r="E37" s="32"/>
    </row>
    <row r="38" spans="1:5" ht="73.5" customHeight="1" x14ac:dyDescent="0.3">
      <c r="A38" s="13">
        <v>36</v>
      </c>
      <c r="B38" s="29" t="s">
        <v>135</v>
      </c>
      <c r="C38" s="30" t="s">
        <v>144</v>
      </c>
      <c r="D38" s="31" t="s">
        <v>145</v>
      </c>
      <c r="E38" s="32"/>
    </row>
    <row r="39" spans="1:5" ht="73.5" customHeight="1" x14ac:dyDescent="0.3">
      <c r="A39" s="13">
        <v>37</v>
      </c>
      <c r="B39" s="34" t="s">
        <v>156</v>
      </c>
      <c r="C39" s="35" t="s">
        <v>157</v>
      </c>
      <c r="D39" s="32"/>
      <c r="E39" s="32"/>
    </row>
    <row r="40" spans="1:5" ht="73.5" customHeight="1" x14ac:dyDescent="0.3">
      <c r="A40" s="13">
        <v>38</v>
      </c>
      <c r="B40" s="34" t="s">
        <v>158</v>
      </c>
      <c r="C40" s="35" t="s">
        <v>157</v>
      </c>
      <c r="D40" s="32"/>
      <c r="E40" s="32"/>
    </row>
    <row r="41" spans="1:5" ht="73.5" customHeight="1" x14ac:dyDescent="0.3">
      <c r="A41" s="13">
        <v>39</v>
      </c>
      <c r="B41" s="36" t="s">
        <v>159</v>
      </c>
      <c r="C41" s="35" t="s">
        <v>157</v>
      </c>
      <c r="D41" s="32"/>
      <c r="E41" s="32"/>
    </row>
    <row r="42" spans="1:5" ht="73.5" customHeight="1" x14ac:dyDescent="0.3">
      <c r="A42" s="13">
        <v>40</v>
      </c>
      <c r="B42" s="36" t="s">
        <v>160</v>
      </c>
      <c r="C42" s="35" t="s">
        <v>157</v>
      </c>
      <c r="D42" s="32"/>
      <c r="E42" s="32"/>
    </row>
    <row r="43" spans="1:5" ht="14.25" customHeight="1" x14ac:dyDescent="0.3">
      <c r="A43" s="13">
        <v>41</v>
      </c>
      <c r="B43" s="36" t="s">
        <v>161</v>
      </c>
      <c r="C43" s="35" t="s">
        <v>157</v>
      </c>
      <c r="D43" s="32"/>
      <c r="E43" s="32"/>
    </row>
    <row r="44" spans="1:5" ht="14.25" customHeight="1" x14ac:dyDescent="0.3">
      <c r="A44" s="13">
        <v>42</v>
      </c>
      <c r="B44" s="36" t="s">
        <v>162</v>
      </c>
      <c r="C44" s="35" t="s">
        <v>157</v>
      </c>
      <c r="D44" s="32"/>
      <c r="E44" s="32"/>
    </row>
    <row r="45" spans="1:5" ht="14.25" customHeight="1" x14ac:dyDescent="0.3">
      <c r="A45" s="13">
        <v>43</v>
      </c>
      <c r="B45" s="36" t="s">
        <v>163</v>
      </c>
      <c r="C45" s="35" t="s">
        <v>157</v>
      </c>
      <c r="D45" s="32"/>
      <c r="E45" s="32"/>
    </row>
    <row r="46" spans="1:5" ht="14.25" customHeight="1" x14ac:dyDescent="0.3">
      <c r="A46" s="13">
        <v>44</v>
      </c>
      <c r="B46" s="36" t="s">
        <v>164</v>
      </c>
      <c r="C46" s="35" t="s">
        <v>157</v>
      </c>
      <c r="D46" s="32"/>
      <c r="E46" s="32"/>
    </row>
    <row r="47" spans="1:5" ht="14.25" customHeight="1" x14ac:dyDescent="0.3">
      <c r="A47" s="13">
        <v>45</v>
      </c>
      <c r="B47" s="36" t="s">
        <v>165</v>
      </c>
      <c r="C47" s="35" t="s">
        <v>157</v>
      </c>
      <c r="D47" s="32"/>
      <c r="E47" s="32"/>
    </row>
    <row r="48" spans="1:5" ht="14.25" customHeight="1" x14ac:dyDescent="0.3">
      <c r="A48" s="13">
        <v>46</v>
      </c>
      <c r="B48" s="36" t="s">
        <v>166</v>
      </c>
      <c r="C48" s="35" t="s">
        <v>157</v>
      </c>
      <c r="D48" s="32"/>
      <c r="E48" s="32"/>
    </row>
    <row r="49" spans="1:5" ht="14.25" customHeight="1" x14ac:dyDescent="0.3">
      <c r="A49" s="13">
        <v>47</v>
      </c>
      <c r="B49" s="36" t="s">
        <v>167</v>
      </c>
      <c r="C49" s="35" t="s">
        <v>157</v>
      </c>
      <c r="D49" s="32"/>
      <c r="E49" s="32"/>
    </row>
    <row r="50" spans="1:5" ht="14.25" customHeight="1" x14ac:dyDescent="0.3">
      <c r="A50" s="13">
        <v>48</v>
      </c>
      <c r="B50" s="36" t="s">
        <v>168</v>
      </c>
      <c r="C50" s="35" t="s">
        <v>157</v>
      </c>
      <c r="D50" s="32"/>
      <c r="E50" s="32"/>
    </row>
    <row r="51" spans="1:5" ht="14.25" customHeight="1" x14ac:dyDescent="0.3">
      <c r="A51" s="13">
        <v>49</v>
      </c>
      <c r="B51" s="32" t="s">
        <v>169</v>
      </c>
      <c r="C51" s="35" t="s">
        <v>144</v>
      </c>
      <c r="D51" s="32"/>
      <c r="E51" s="32"/>
    </row>
    <row r="52" spans="1:5" ht="14.25" customHeight="1" x14ac:dyDescent="0.3">
      <c r="A52" s="13">
        <v>50</v>
      </c>
      <c r="B52" s="32" t="s">
        <v>170</v>
      </c>
      <c r="C52" s="35" t="s">
        <v>144</v>
      </c>
      <c r="D52" s="32"/>
      <c r="E52" s="32"/>
    </row>
    <row r="53" spans="1:5" ht="14.25" customHeight="1" x14ac:dyDescent="0.3">
      <c r="A53" s="13">
        <v>51</v>
      </c>
      <c r="B53" s="32" t="s">
        <v>171</v>
      </c>
      <c r="C53" s="35" t="s">
        <v>144</v>
      </c>
      <c r="D53" s="32"/>
      <c r="E53" s="32"/>
    </row>
    <row r="54" spans="1:5" ht="14.25" customHeight="1" x14ac:dyDescent="0.3">
      <c r="A54" s="13">
        <v>52</v>
      </c>
      <c r="B54" s="32" t="s">
        <v>172</v>
      </c>
      <c r="C54" s="35" t="s">
        <v>144</v>
      </c>
      <c r="D54" s="32"/>
      <c r="E54" s="32"/>
    </row>
    <row r="55" spans="1:5" ht="14.25" customHeight="1" x14ac:dyDescent="0.3">
      <c r="A55" s="13">
        <v>53</v>
      </c>
      <c r="B55" s="32" t="s">
        <v>173</v>
      </c>
      <c r="C55" s="35" t="s">
        <v>144</v>
      </c>
      <c r="D55" s="32"/>
      <c r="E55" s="32"/>
    </row>
    <row r="56" spans="1:5" ht="14.25" customHeight="1" x14ac:dyDescent="0.3">
      <c r="A56" s="13">
        <v>54</v>
      </c>
      <c r="B56" s="32" t="s">
        <v>174</v>
      </c>
      <c r="C56" s="35" t="s">
        <v>144</v>
      </c>
      <c r="D56" s="32"/>
      <c r="E56" s="32"/>
    </row>
    <row r="57" spans="1:5" ht="14.25" customHeight="1" x14ac:dyDescent="0.3">
      <c r="A57" s="13">
        <v>55</v>
      </c>
      <c r="B57" s="32" t="s">
        <v>175</v>
      </c>
      <c r="C57" s="35" t="s">
        <v>144</v>
      </c>
      <c r="D57" s="32"/>
      <c r="E57" s="32"/>
    </row>
    <row r="58" spans="1:5" ht="14.25" customHeight="1" x14ac:dyDescent="0.3">
      <c r="A58" s="13">
        <v>56</v>
      </c>
      <c r="B58" s="32" t="s">
        <v>176</v>
      </c>
      <c r="C58" s="35" t="s">
        <v>144</v>
      </c>
      <c r="D58" s="32"/>
      <c r="E58" s="32"/>
    </row>
    <row r="59" spans="1:5" ht="14.25" customHeight="1" x14ac:dyDescent="0.3">
      <c r="A59" s="13">
        <v>57</v>
      </c>
      <c r="B59" s="32" t="s">
        <v>177</v>
      </c>
      <c r="C59" s="35" t="s">
        <v>144</v>
      </c>
      <c r="D59" s="32"/>
      <c r="E59" s="32"/>
    </row>
    <row r="60" spans="1:5" ht="14.25" customHeight="1" x14ac:dyDescent="0.3">
      <c r="A60" s="13">
        <v>58</v>
      </c>
      <c r="B60" s="32" t="s">
        <v>178</v>
      </c>
      <c r="C60" s="35" t="s">
        <v>144</v>
      </c>
      <c r="D60" s="32"/>
      <c r="E60" s="32"/>
    </row>
    <row r="61" spans="1:5" ht="14.25" customHeight="1" x14ac:dyDescent="0.3">
      <c r="A61" s="13">
        <v>59</v>
      </c>
      <c r="B61" s="32" t="s">
        <v>179</v>
      </c>
      <c r="C61" s="35" t="s">
        <v>144</v>
      </c>
      <c r="D61" s="32"/>
      <c r="E61" s="32"/>
    </row>
    <row r="62" spans="1:5" ht="14.25" customHeight="1" x14ac:dyDescent="0.3">
      <c r="A62" s="13">
        <v>60</v>
      </c>
      <c r="B62" s="32" t="s">
        <v>180</v>
      </c>
      <c r="C62" s="35" t="s">
        <v>144</v>
      </c>
      <c r="D62" s="32"/>
      <c r="E62" s="32"/>
    </row>
    <row r="63" spans="1:5" ht="14.25" customHeight="1" x14ac:dyDescent="0.3">
      <c r="A63" s="13">
        <v>61</v>
      </c>
      <c r="B63" s="32" t="s">
        <v>181</v>
      </c>
      <c r="C63" s="35" t="s">
        <v>144</v>
      </c>
      <c r="D63" s="32"/>
      <c r="E63" s="32"/>
    </row>
    <row r="64" spans="1:5" ht="14.25" customHeight="1" x14ac:dyDescent="0.3">
      <c r="A64" s="13">
        <v>62</v>
      </c>
      <c r="B64" s="32" t="s">
        <v>182</v>
      </c>
      <c r="C64" s="35" t="s">
        <v>144</v>
      </c>
      <c r="D64" s="32"/>
      <c r="E64" s="32"/>
    </row>
    <row r="65" spans="1:5" ht="14.25" customHeight="1" x14ac:dyDescent="0.3">
      <c r="A65" s="13">
        <v>63</v>
      </c>
      <c r="B65" s="32" t="s">
        <v>183</v>
      </c>
      <c r="C65" s="35" t="s">
        <v>144</v>
      </c>
      <c r="D65" s="32"/>
      <c r="E65" s="32"/>
    </row>
    <row r="66" spans="1:5" ht="14.25" customHeight="1" x14ac:dyDescent="0.3">
      <c r="A66" s="13">
        <v>64</v>
      </c>
      <c r="B66" s="32" t="s">
        <v>184</v>
      </c>
      <c r="C66" s="35" t="s">
        <v>144</v>
      </c>
      <c r="D66" s="32"/>
      <c r="E66" s="32"/>
    </row>
    <row r="67" spans="1:5" ht="14.25" customHeight="1" x14ac:dyDescent="0.3">
      <c r="A67" s="13">
        <v>65</v>
      </c>
      <c r="B67" s="32" t="s">
        <v>185</v>
      </c>
      <c r="C67" s="35" t="s">
        <v>144</v>
      </c>
      <c r="D67" s="32"/>
      <c r="E67" s="32"/>
    </row>
    <row r="68" spans="1:5" ht="14.25" customHeight="1" x14ac:dyDescent="0.3">
      <c r="A68" s="13">
        <v>66</v>
      </c>
      <c r="B68" s="32" t="s">
        <v>186</v>
      </c>
      <c r="C68" s="35" t="s">
        <v>144</v>
      </c>
      <c r="D68" s="32"/>
      <c r="E68" s="32"/>
    </row>
    <row r="69" spans="1:5" ht="14.25" customHeight="1" x14ac:dyDescent="0.3">
      <c r="A69" s="13">
        <v>67</v>
      </c>
      <c r="B69" s="32" t="s">
        <v>49</v>
      </c>
      <c r="C69" s="35" t="s">
        <v>144</v>
      </c>
      <c r="D69" s="32"/>
      <c r="E69" s="32"/>
    </row>
    <row r="70" spans="1:5" ht="14.25" customHeight="1" x14ac:dyDescent="0.3">
      <c r="A70" s="13">
        <v>68</v>
      </c>
      <c r="B70" s="32" t="s">
        <v>187</v>
      </c>
      <c r="C70" s="35" t="s">
        <v>144</v>
      </c>
      <c r="D70" s="32"/>
      <c r="E70" s="32"/>
    </row>
    <row r="71" spans="1:5" ht="14.25" customHeight="1" x14ac:dyDescent="0.3">
      <c r="A71" s="13">
        <v>69</v>
      </c>
      <c r="B71" s="32" t="s">
        <v>188</v>
      </c>
      <c r="C71" s="35" t="s">
        <v>144</v>
      </c>
      <c r="D71" s="32"/>
      <c r="E71" s="32"/>
    </row>
    <row r="72" spans="1:5" ht="14.25" customHeight="1" x14ac:dyDescent="0.3">
      <c r="A72" s="13">
        <v>70</v>
      </c>
      <c r="B72" s="32" t="s">
        <v>189</v>
      </c>
      <c r="C72" s="35" t="s">
        <v>144</v>
      </c>
      <c r="D72" s="32"/>
      <c r="E72" s="32"/>
    </row>
    <row r="73" spans="1:5" ht="14.25" customHeight="1" x14ac:dyDescent="0.3">
      <c r="A73" s="13">
        <v>71</v>
      </c>
      <c r="B73" s="32" t="s">
        <v>190</v>
      </c>
      <c r="C73" s="35" t="s">
        <v>144</v>
      </c>
      <c r="D73" s="32"/>
      <c r="E73" s="32"/>
    </row>
    <row r="74" spans="1:5" ht="14.25" customHeight="1" x14ac:dyDescent="0.3">
      <c r="A74" s="13">
        <v>72</v>
      </c>
      <c r="B74" s="32" t="s">
        <v>191</v>
      </c>
      <c r="C74" s="35" t="s">
        <v>144</v>
      </c>
      <c r="D74" s="32"/>
      <c r="E74" s="32"/>
    </row>
    <row r="75" spans="1:5" ht="14.25" customHeight="1" x14ac:dyDescent="0.3">
      <c r="A75" s="13">
        <v>73</v>
      </c>
      <c r="B75" s="32" t="s">
        <v>192</v>
      </c>
      <c r="C75" s="35" t="s">
        <v>144</v>
      </c>
      <c r="D75" s="32"/>
      <c r="E75" s="32"/>
    </row>
    <row r="76" spans="1:5" ht="14.25" customHeight="1" x14ac:dyDescent="0.3">
      <c r="A76" s="13">
        <v>74</v>
      </c>
      <c r="B76" s="32" t="s">
        <v>193</v>
      </c>
      <c r="C76" s="35" t="s">
        <v>144</v>
      </c>
      <c r="D76" s="32"/>
      <c r="E76" s="32"/>
    </row>
    <row r="77" spans="1:5" ht="14.25" customHeight="1" x14ac:dyDescent="0.3">
      <c r="A77" s="13">
        <v>75</v>
      </c>
      <c r="B77" s="32" t="s">
        <v>194</v>
      </c>
      <c r="C77" s="35" t="s">
        <v>144</v>
      </c>
      <c r="D77" s="32"/>
      <c r="E77" s="32"/>
    </row>
    <row r="78" spans="1:5" ht="14.25" customHeight="1" x14ac:dyDescent="0.3">
      <c r="A78" s="13">
        <v>76</v>
      </c>
      <c r="B78" s="32" t="s">
        <v>195</v>
      </c>
      <c r="C78" s="35" t="s">
        <v>144</v>
      </c>
      <c r="D78" s="32"/>
      <c r="E78" s="32"/>
    </row>
    <row r="79" spans="1:5" ht="14.25" customHeight="1" x14ac:dyDescent="0.3">
      <c r="A79" s="13">
        <v>77</v>
      </c>
      <c r="B79" s="32" t="s">
        <v>196</v>
      </c>
      <c r="C79" s="35" t="s">
        <v>144</v>
      </c>
      <c r="D79" s="32"/>
      <c r="E79" s="32"/>
    </row>
    <row r="80" spans="1:5" ht="14.25" customHeight="1" x14ac:dyDescent="0.3">
      <c r="A80" s="13">
        <v>78</v>
      </c>
      <c r="B80" s="32" t="s">
        <v>197</v>
      </c>
      <c r="C80" s="35" t="s">
        <v>144</v>
      </c>
      <c r="D80" s="32"/>
      <c r="E80" s="32"/>
    </row>
    <row r="81" spans="1:5" ht="14.25" customHeight="1" x14ac:dyDescent="0.3">
      <c r="A81" s="13">
        <v>79</v>
      </c>
      <c r="B81" s="32" t="s">
        <v>198</v>
      </c>
      <c r="C81" s="35" t="s">
        <v>144</v>
      </c>
      <c r="D81" s="32"/>
      <c r="E81" s="32"/>
    </row>
    <row r="82" spans="1:5" ht="14.25" customHeight="1" x14ac:dyDescent="0.3">
      <c r="A82" s="13">
        <v>80</v>
      </c>
      <c r="B82" s="32" t="s">
        <v>199</v>
      </c>
      <c r="C82" s="35" t="s">
        <v>144</v>
      </c>
      <c r="D82" s="32"/>
      <c r="E82" s="32"/>
    </row>
    <row r="83" spans="1:5" ht="14.25" customHeight="1" x14ac:dyDescent="0.3">
      <c r="A83" s="13">
        <v>81</v>
      </c>
      <c r="B83" s="32" t="s">
        <v>200</v>
      </c>
      <c r="C83" s="35" t="s">
        <v>144</v>
      </c>
      <c r="D83" s="32"/>
      <c r="E83" s="32"/>
    </row>
    <row r="84" spans="1:5" ht="14.25" customHeight="1" x14ac:dyDescent="0.3">
      <c r="A84" s="13">
        <v>82</v>
      </c>
      <c r="B84" s="32" t="s">
        <v>201</v>
      </c>
      <c r="C84" s="35" t="s">
        <v>144</v>
      </c>
      <c r="D84" s="32"/>
      <c r="E84" s="32"/>
    </row>
    <row r="85" spans="1:5" ht="14.25" customHeight="1" x14ac:dyDescent="0.3">
      <c r="A85" s="13">
        <v>83</v>
      </c>
      <c r="B85" s="32" t="s">
        <v>202</v>
      </c>
      <c r="C85" s="35" t="s">
        <v>144</v>
      </c>
      <c r="D85" s="32"/>
      <c r="E85" s="32"/>
    </row>
    <row r="86" spans="1:5" ht="14.25" customHeight="1" x14ac:dyDescent="0.3">
      <c r="A86" s="13">
        <v>84</v>
      </c>
      <c r="B86" s="32" t="s">
        <v>203</v>
      </c>
      <c r="C86" s="35" t="s">
        <v>144</v>
      </c>
      <c r="D86" s="32"/>
      <c r="E86" s="32"/>
    </row>
    <row r="87" spans="1:5" ht="14.25" customHeight="1" x14ac:dyDescent="0.3">
      <c r="A87" s="13">
        <v>85</v>
      </c>
      <c r="B87" s="32" t="s">
        <v>204</v>
      </c>
      <c r="C87" s="35" t="s">
        <v>144</v>
      </c>
      <c r="D87" s="32"/>
      <c r="E87" s="32"/>
    </row>
    <row r="88" spans="1:5" ht="14.25" customHeight="1" x14ac:dyDescent="0.3">
      <c r="A88" s="13">
        <v>86</v>
      </c>
      <c r="B88" s="32" t="s">
        <v>205</v>
      </c>
      <c r="C88" s="35" t="s">
        <v>144</v>
      </c>
      <c r="D88" s="32"/>
      <c r="E88" s="32"/>
    </row>
    <row r="89" spans="1:5" ht="14.25" customHeight="1" x14ac:dyDescent="0.3">
      <c r="A89" s="13">
        <v>87</v>
      </c>
      <c r="B89" s="32" t="s">
        <v>206</v>
      </c>
      <c r="C89" s="35" t="s">
        <v>144</v>
      </c>
      <c r="D89" s="32"/>
      <c r="E89" s="32"/>
    </row>
    <row r="90" spans="1:5" ht="14.25" customHeight="1" x14ac:dyDescent="0.3">
      <c r="A90" s="13">
        <v>88</v>
      </c>
      <c r="B90" s="32" t="s">
        <v>207</v>
      </c>
      <c r="C90" s="35" t="s">
        <v>144</v>
      </c>
      <c r="D90" s="32"/>
      <c r="E90" s="32"/>
    </row>
    <row r="91" spans="1:5" ht="14.25" customHeight="1" x14ac:dyDescent="0.3">
      <c r="A91" s="13">
        <v>89</v>
      </c>
      <c r="B91" s="32" t="s">
        <v>208</v>
      </c>
      <c r="C91" s="35" t="s">
        <v>144</v>
      </c>
      <c r="D91" s="32"/>
      <c r="E91" s="32"/>
    </row>
    <row r="92" spans="1:5" ht="14.25" customHeight="1" x14ac:dyDescent="0.3">
      <c r="A92" s="13">
        <v>90</v>
      </c>
      <c r="B92" s="32" t="s">
        <v>209</v>
      </c>
      <c r="C92" s="35" t="s">
        <v>144</v>
      </c>
      <c r="D92" s="32"/>
      <c r="E92" s="32"/>
    </row>
    <row r="93" spans="1:5" ht="14.25" customHeight="1" x14ac:dyDescent="0.3">
      <c r="A93" s="13">
        <v>91</v>
      </c>
      <c r="B93" s="32" t="s">
        <v>210</v>
      </c>
      <c r="C93" s="35" t="s">
        <v>144</v>
      </c>
      <c r="D93" s="32"/>
      <c r="E93" s="32"/>
    </row>
    <row r="94" spans="1:5" ht="14.25" customHeight="1" x14ac:dyDescent="0.3">
      <c r="A94" s="13">
        <v>92</v>
      </c>
      <c r="B94" s="32" t="s">
        <v>211</v>
      </c>
      <c r="C94" s="35" t="s">
        <v>144</v>
      </c>
      <c r="D94" s="32"/>
      <c r="E94" s="32"/>
    </row>
    <row r="95" spans="1:5" ht="14.25" customHeight="1" x14ac:dyDescent="0.3">
      <c r="A95" s="13">
        <v>93</v>
      </c>
      <c r="B95" s="32" t="s">
        <v>212</v>
      </c>
      <c r="C95" s="35" t="s">
        <v>144</v>
      </c>
      <c r="D95" s="32"/>
      <c r="E95" s="32"/>
    </row>
    <row r="96" spans="1:5" ht="14.25" customHeight="1" x14ac:dyDescent="0.3">
      <c r="A96" s="13">
        <v>94</v>
      </c>
      <c r="B96" s="32" t="s">
        <v>213</v>
      </c>
      <c r="C96" s="35" t="s">
        <v>144</v>
      </c>
      <c r="D96" s="32"/>
      <c r="E96" s="32"/>
    </row>
    <row r="97" spans="1:5" ht="14.25" customHeight="1" x14ac:dyDescent="0.3">
      <c r="A97" s="13">
        <v>95</v>
      </c>
      <c r="B97" s="32" t="s">
        <v>214</v>
      </c>
      <c r="C97" s="35" t="s">
        <v>144</v>
      </c>
      <c r="D97" s="32"/>
      <c r="E97" s="32"/>
    </row>
    <row r="98" spans="1:5" ht="14.25" customHeight="1" x14ac:dyDescent="0.3">
      <c r="A98" s="13">
        <v>96</v>
      </c>
      <c r="B98" s="32" t="s">
        <v>215</v>
      </c>
      <c r="C98" s="35" t="s">
        <v>144</v>
      </c>
      <c r="D98" s="32"/>
      <c r="E98" s="32"/>
    </row>
    <row r="99" spans="1:5" ht="14.25" customHeight="1" x14ac:dyDescent="0.3">
      <c r="A99" s="13">
        <v>97</v>
      </c>
      <c r="B99" s="32" t="s">
        <v>216</v>
      </c>
      <c r="C99" s="35" t="s">
        <v>144</v>
      </c>
      <c r="D99" s="32"/>
      <c r="E99" s="32"/>
    </row>
    <row r="100" spans="1:5" ht="14.25" customHeight="1" x14ac:dyDescent="0.3">
      <c r="A100" s="13">
        <v>98</v>
      </c>
      <c r="B100" s="32" t="s">
        <v>217</v>
      </c>
      <c r="C100" s="35" t="s">
        <v>144</v>
      </c>
      <c r="D100" s="32"/>
      <c r="E100" s="32"/>
    </row>
    <row r="101" spans="1:5" ht="14.25" customHeight="1" x14ac:dyDescent="0.3">
      <c r="A101" s="13">
        <v>99</v>
      </c>
      <c r="B101" s="32" t="s">
        <v>218</v>
      </c>
      <c r="C101" s="35" t="s">
        <v>144</v>
      </c>
      <c r="D101" s="32"/>
      <c r="E101" s="32"/>
    </row>
    <row r="102" spans="1:5" ht="14.25" customHeight="1" x14ac:dyDescent="0.3">
      <c r="A102" s="13">
        <v>100</v>
      </c>
      <c r="B102" s="32" t="s">
        <v>219</v>
      </c>
      <c r="C102" s="35" t="s">
        <v>144</v>
      </c>
      <c r="D102" s="32"/>
      <c r="E102" s="32"/>
    </row>
    <row r="103" spans="1:5" ht="14.25" customHeight="1" x14ac:dyDescent="0.3">
      <c r="A103" s="13">
        <v>101</v>
      </c>
      <c r="B103" s="32" t="s">
        <v>220</v>
      </c>
      <c r="C103" s="35" t="s">
        <v>144</v>
      </c>
      <c r="D103" s="32"/>
      <c r="E103" s="32"/>
    </row>
    <row r="104" spans="1:5" ht="14.25" customHeight="1" x14ac:dyDescent="0.3">
      <c r="A104" s="13">
        <v>102</v>
      </c>
      <c r="B104" s="32" t="s">
        <v>221</v>
      </c>
      <c r="C104" s="35" t="s">
        <v>144</v>
      </c>
      <c r="D104" s="32"/>
      <c r="E104" s="32"/>
    </row>
    <row r="105" spans="1:5" ht="14.25" customHeight="1" x14ac:dyDescent="0.3">
      <c r="A105" s="13">
        <v>103</v>
      </c>
      <c r="B105" s="32" t="s">
        <v>222</v>
      </c>
      <c r="C105" s="35" t="s">
        <v>144</v>
      </c>
      <c r="D105" s="32"/>
      <c r="E105" s="32"/>
    </row>
    <row r="106" spans="1:5" ht="14.25" customHeight="1" x14ac:dyDescent="0.3">
      <c r="A106" s="13">
        <v>104</v>
      </c>
      <c r="B106" s="32" t="s">
        <v>223</v>
      </c>
      <c r="C106" s="35" t="s">
        <v>144</v>
      </c>
      <c r="D106" s="32"/>
      <c r="E106" s="32"/>
    </row>
    <row r="107" spans="1:5" ht="14.25" customHeight="1" x14ac:dyDescent="0.3">
      <c r="A107" s="13">
        <v>105</v>
      </c>
      <c r="B107" s="32" t="s">
        <v>224</v>
      </c>
      <c r="C107" s="35" t="s">
        <v>144</v>
      </c>
      <c r="D107" s="32"/>
      <c r="E107" s="32"/>
    </row>
    <row r="108" spans="1:5" ht="14.25" customHeight="1" x14ac:dyDescent="0.3">
      <c r="A108" s="13">
        <v>106</v>
      </c>
      <c r="B108" s="32" t="s">
        <v>225</v>
      </c>
      <c r="C108" s="35" t="s">
        <v>144</v>
      </c>
      <c r="D108" s="32"/>
      <c r="E108" s="32"/>
    </row>
    <row r="109" spans="1:5" ht="14.25" customHeight="1" x14ac:dyDescent="0.3">
      <c r="A109" s="13">
        <v>107</v>
      </c>
      <c r="B109" s="32" t="s">
        <v>226</v>
      </c>
      <c r="C109" s="35" t="s">
        <v>144</v>
      </c>
      <c r="D109" s="32"/>
      <c r="E109" s="32"/>
    </row>
    <row r="110" spans="1:5" ht="14.25" customHeight="1" x14ac:dyDescent="0.3">
      <c r="A110" s="13">
        <v>108</v>
      </c>
      <c r="B110" s="32" t="s">
        <v>227</v>
      </c>
      <c r="C110" s="35" t="s">
        <v>144</v>
      </c>
      <c r="D110" s="32"/>
      <c r="E110" s="32"/>
    </row>
    <row r="111" spans="1:5" ht="14.25" customHeight="1" x14ac:dyDescent="0.3">
      <c r="A111" s="13">
        <v>109</v>
      </c>
      <c r="B111" s="32" t="s">
        <v>148</v>
      </c>
      <c r="C111" s="35" t="s">
        <v>144</v>
      </c>
      <c r="D111" s="32"/>
      <c r="E111" s="32"/>
    </row>
    <row r="112" spans="1:5" ht="14.25" customHeight="1" x14ac:dyDescent="0.3">
      <c r="A112" s="13">
        <v>110</v>
      </c>
      <c r="B112" s="32" t="s">
        <v>228</v>
      </c>
      <c r="C112" s="35" t="s">
        <v>144</v>
      </c>
      <c r="D112" s="32"/>
      <c r="E112" s="32"/>
    </row>
    <row r="113" spans="1:5" ht="14.25" customHeight="1" x14ac:dyDescent="0.3">
      <c r="A113" s="13">
        <v>111</v>
      </c>
      <c r="B113" s="32" t="s">
        <v>229</v>
      </c>
      <c r="C113" s="35" t="s">
        <v>144</v>
      </c>
      <c r="D113" s="32"/>
      <c r="E113" s="32"/>
    </row>
    <row r="114" spans="1:5" ht="14.25" customHeight="1" x14ac:dyDescent="0.3">
      <c r="A114" s="13">
        <v>112</v>
      </c>
      <c r="B114" s="32" t="s">
        <v>230</v>
      </c>
      <c r="C114" s="35" t="s">
        <v>144</v>
      </c>
      <c r="D114" s="32"/>
      <c r="E114" s="32"/>
    </row>
    <row r="115" spans="1:5" ht="14.25" customHeight="1" x14ac:dyDescent="0.3">
      <c r="A115" s="13">
        <v>113</v>
      </c>
      <c r="B115" s="32" t="s">
        <v>231</v>
      </c>
      <c r="C115" s="35" t="s">
        <v>144</v>
      </c>
      <c r="D115" s="32"/>
      <c r="E115" s="32"/>
    </row>
    <row r="116" spans="1:5" ht="14.25" customHeight="1" x14ac:dyDescent="0.3">
      <c r="A116" s="13">
        <v>114</v>
      </c>
      <c r="B116" s="32" t="s">
        <v>232</v>
      </c>
      <c r="C116" s="35" t="s">
        <v>144</v>
      </c>
      <c r="D116" s="32"/>
      <c r="E116" s="32"/>
    </row>
    <row r="117" spans="1:5" ht="14.25" customHeight="1" x14ac:dyDescent="0.3">
      <c r="A117" s="13">
        <v>115</v>
      </c>
      <c r="B117" s="32" t="s">
        <v>61</v>
      </c>
      <c r="C117" s="35" t="s">
        <v>144</v>
      </c>
      <c r="D117" s="32"/>
      <c r="E117" s="32"/>
    </row>
    <row r="118" spans="1:5" ht="14.25" customHeight="1" x14ac:dyDescent="0.3">
      <c r="A118" s="13">
        <v>116</v>
      </c>
      <c r="B118" s="32" t="s">
        <v>233</v>
      </c>
      <c r="C118" s="35" t="s">
        <v>144</v>
      </c>
      <c r="D118" s="32"/>
      <c r="E118" s="32"/>
    </row>
    <row r="119" spans="1:5" ht="14.25" customHeight="1" x14ac:dyDescent="0.3">
      <c r="A119" s="13">
        <v>117</v>
      </c>
      <c r="B119" s="32" t="s">
        <v>234</v>
      </c>
      <c r="C119" s="35" t="s">
        <v>144</v>
      </c>
      <c r="D119" s="32"/>
      <c r="E119" s="32"/>
    </row>
    <row r="120" spans="1:5" ht="14.25" customHeight="1" x14ac:dyDescent="0.3">
      <c r="A120" s="13">
        <v>118</v>
      </c>
      <c r="B120" s="32" t="s">
        <v>235</v>
      </c>
      <c r="C120" s="35" t="s">
        <v>144</v>
      </c>
      <c r="D120" s="32"/>
      <c r="E120" s="32"/>
    </row>
    <row r="121" spans="1:5" ht="14.25" customHeight="1" x14ac:dyDescent="0.3">
      <c r="A121" s="13">
        <v>119</v>
      </c>
      <c r="B121" s="32" t="s">
        <v>236</v>
      </c>
      <c r="C121" s="35" t="s">
        <v>144</v>
      </c>
      <c r="D121" s="32"/>
      <c r="E121" s="32"/>
    </row>
    <row r="122" spans="1:5" ht="14.25" customHeight="1" x14ac:dyDescent="0.3">
      <c r="A122" s="13">
        <v>120</v>
      </c>
      <c r="B122" s="32" t="s">
        <v>237</v>
      </c>
      <c r="C122" s="35" t="s">
        <v>144</v>
      </c>
      <c r="D122" s="32"/>
      <c r="E122" s="32"/>
    </row>
    <row r="123" spans="1:5" ht="14.25" customHeight="1" x14ac:dyDescent="0.3">
      <c r="A123" s="13">
        <v>121</v>
      </c>
      <c r="B123" s="32" t="s">
        <v>238</v>
      </c>
      <c r="C123" s="35" t="s">
        <v>144</v>
      </c>
      <c r="D123" s="32"/>
      <c r="E123" s="32"/>
    </row>
    <row r="124" spans="1:5" ht="14.25" customHeight="1" x14ac:dyDescent="0.3">
      <c r="A124" s="13">
        <v>122</v>
      </c>
      <c r="B124" s="32" t="s">
        <v>239</v>
      </c>
      <c r="C124" s="35" t="s">
        <v>144</v>
      </c>
      <c r="D124" s="32"/>
      <c r="E124" s="32"/>
    </row>
    <row r="125" spans="1:5" ht="14.25" customHeight="1" x14ac:dyDescent="0.3">
      <c r="A125" s="13">
        <v>123</v>
      </c>
      <c r="B125" s="32" t="s">
        <v>240</v>
      </c>
      <c r="C125" s="35" t="s">
        <v>144</v>
      </c>
      <c r="D125" s="32"/>
      <c r="E125" s="32"/>
    </row>
    <row r="126" spans="1:5" ht="14.25" customHeight="1" x14ac:dyDescent="0.3">
      <c r="A126" s="13">
        <v>124</v>
      </c>
      <c r="B126" s="32" t="s">
        <v>241</v>
      </c>
      <c r="C126" s="35" t="s">
        <v>144</v>
      </c>
      <c r="D126" s="32"/>
      <c r="E126" s="32"/>
    </row>
    <row r="127" spans="1:5" ht="14.25" customHeight="1" x14ac:dyDescent="0.3">
      <c r="A127" s="13">
        <v>125</v>
      </c>
      <c r="B127" s="32" t="s">
        <v>242</v>
      </c>
      <c r="C127" s="35" t="s">
        <v>144</v>
      </c>
      <c r="D127" s="32"/>
      <c r="E127" s="32"/>
    </row>
    <row r="128" spans="1:5" ht="14.25" customHeight="1" x14ac:dyDescent="0.3">
      <c r="A128" s="13">
        <v>126</v>
      </c>
      <c r="B128" s="32" t="s">
        <v>243</v>
      </c>
      <c r="C128" s="35" t="s">
        <v>144</v>
      </c>
      <c r="D128" s="32"/>
      <c r="E128" s="32"/>
    </row>
    <row r="129" spans="1:5" ht="14.25" customHeight="1" x14ac:dyDescent="0.3">
      <c r="A129" s="13">
        <v>127</v>
      </c>
      <c r="B129" s="32" t="s">
        <v>244</v>
      </c>
      <c r="C129" s="35" t="s">
        <v>144</v>
      </c>
      <c r="D129" s="32"/>
      <c r="E129" s="32"/>
    </row>
    <row r="130" spans="1:5" ht="14.25" customHeight="1" x14ac:dyDescent="0.3">
      <c r="A130" s="13">
        <v>128</v>
      </c>
      <c r="B130" s="32" t="s">
        <v>245</v>
      </c>
      <c r="C130" s="35" t="s">
        <v>144</v>
      </c>
      <c r="D130" s="32"/>
      <c r="E130" s="32"/>
    </row>
    <row r="131" spans="1:5" ht="14.25" customHeight="1" x14ac:dyDescent="0.3">
      <c r="A131" s="13">
        <v>129</v>
      </c>
      <c r="B131" s="32" t="s">
        <v>246</v>
      </c>
      <c r="C131" s="35" t="s">
        <v>144</v>
      </c>
      <c r="D131" s="32"/>
      <c r="E131" s="32"/>
    </row>
    <row r="132" spans="1:5" ht="14.25" customHeight="1" x14ac:dyDescent="0.3">
      <c r="A132" s="13">
        <v>130</v>
      </c>
      <c r="B132" s="32" t="s">
        <v>247</v>
      </c>
      <c r="C132" s="35" t="s">
        <v>144</v>
      </c>
      <c r="D132" s="32"/>
      <c r="E132" s="32"/>
    </row>
    <row r="133" spans="1:5" ht="14.25" customHeight="1" x14ac:dyDescent="0.3">
      <c r="A133" s="13">
        <v>131</v>
      </c>
      <c r="B133" s="32" t="s">
        <v>248</v>
      </c>
      <c r="C133" s="35" t="s">
        <v>144</v>
      </c>
      <c r="D133" s="32"/>
      <c r="E133" s="32"/>
    </row>
    <row r="134" spans="1:5" ht="14.25" customHeight="1" x14ac:dyDescent="0.3">
      <c r="A134" s="13">
        <v>132</v>
      </c>
      <c r="B134" s="32" t="s">
        <v>80</v>
      </c>
      <c r="C134" s="35" t="s">
        <v>144</v>
      </c>
      <c r="D134" s="32"/>
      <c r="E134" s="32"/>
    </row>
    <row r="135" spans="1:5" ht="14.25" customHeight="1" x14ac:dyDescent="0.3">
      <c r="A135" s="13">
        <v>133</v>
      </c>
      <c r="B135" s="32" t="s">
        <v>249</v>
      </c>
      <c r="C135" s="35" t="s">
        <v>144</v>
      </c>
      <c r="D135" s="32"/>
      <c r="E135" s="32"/>
    </row>
    <row r="136" spans="1:5" ht="14.25" customHeight="1" x14ac:dyDescent="0.3">
      <c r="A136" s="13">
        <v>134</v>
      </c>
      <c r="B136" s="32" t="s">
        <v>250</v>
      </c>
      <c r="C136" s="35" t="s">
        <v>144</v>
      </c>
      <c r="D136" s="32"/>
      <c r="E136" s="32"/>
    </row>
    <row r="137" spans="1:5" ht="14.25" customHeight="1" x14ac:dyDescent="0.3">
      <c r="A137" s="13">
        <v>135</v>
      </c>
      <c r="B137" s="32" t="s">
        <v>251</v>
      </c>
      <c r="C137" s="35" t="s">
        <v>144</v>
      </c>
      <c r="D137" s="32"/>
      <c r="E137" s="32"/>
    </row>
    <row r="138" spans="1:5" ht="14.25" customHeight="1" x14ac:dyDescent="0.3">
      <c r="A138" s="13">
        <v>136</v>
      </c>
      <c r="B138" s="32" t="s">
        <v>252</v>
      </c>
      <c r="C138" s="35" t="s">
        <v>144</v>
      </c>
      <c r="D138" s="32"/>
      <c r="E138" s="32"/>
    </row>
    <row r="139" spans="1:5" ht="14.25" customHeight="1" x14ac:dyDescent="0.3">
      <c r="A139" s="13">
        <v>137</v>
      </c>
      <c r="B139" s="32" t="s">
        <v>253</v>
      </c>
      <c r="C139" s="35" t="s">
        <v>144</v>
      </c>
      <c r="D139" s="32"/>
      <c r="E139" s="32"/>
    </row>
    <row r="140" spans="1:5" ht="14.25" customHeight="1" x14ac:dyDescent="0.3">
      <c r="A140" s="13">
        <v>138</v>
      </c>
      <c r="B140" s="32" t="s">
        <v>254</v>
      </c>
      <c r="C140" s="35" t="s">
        <v>144</v>
      </c>
      <c r="D140" s="32"/>
      <c r="E140" s="32"/>
    </row>
    <row r="141" spans="1:5" ht="14.25" customHeight="1" x14ac:dyDescent="0.3">
      <c r="A141" s="13">
        <v>139</v>
      </c>
      <c r="B141" s="32" t="s">
        <v>255</v>
      </c>
      <c r="C141" s="35" t="s">
        <v>144</v>
      </c>
      <c r="D141" s="32"/>
      <c r="E141" s="32"/>
    </row>
    <row r="142" spans="1:5" ht="14.25" customHeight="1" x14ac:dyDescent="0.3">
      <c r="A142" s="13">
        <v>140</v>
      </c>
      <c r="B142" s="32" t="s">
        <v>256</v>
      </c>
      <c r="C142" s="35" t="s">
        <v>144</v>
      </c>
      <c r="D142" s="32"/>
      <c r="E142" s="32"/>
    </row>
    <row r="143" spans="1:5" ht="14.25" customHeight="1" x14ac:dyDescent="0.3">
      <c r="A143" s="13">
        <v>141</v>
      </c>
      <c r="B143" s="32" t="s">
        <v>257</v>
      </c>
      <c r="C143" s="35" t="s">
        <v>144</v>
      </c>
      <c r="D143" s="32"/>
      <c r="E143" s="32"/>
    </row>
    <row r="144" spans="1:5" ht="14.25" customHeight="1" x14ac:dyDescent="0.3">
      <c r="A144" s="13">
        <v>142</v>
      </c>
      <c r="B144" s="32" t="s">
        <v>258</v>
      </c>
      <c r="C144" s="35" t="s">
        <v>144</v>
      </c>
      <c r="D144" s="32"/>
      <c r="E144" s="32"/>
    </row>
    <row r="145" spans="1:5" ht="14.25" customHeight="1" x14ac:dyDescent="0.3">
      <c r="A145" s="13">
        <v>143</v>
      </c>
      <c r="B145" s="32" t="s">
        <v>259</v>
      </c>
      <c r="C145" s="35" t="s">
        <v>144</v>
      </c>
      <c r="D145" s="32"/>
      <c r="E145" s="32"/>
    </row>
    <row r="146" spans="1:5" ht="14.25" customHeight="1" x14ac:dyDescent="0.3">
      <c r="A146" s="13">
        <v>144</v>
      </c>
      <c r="B146" s="32" t="s">
        <v>260</v>
      </c>
      <c r="C146" s="35" t="s">
        <v>144</v>
      </c>
      <c r="D146" s="32"/>
      <c r="E146" s="32"/>
    </row>
    <row r="147" spans="1:5" ht="14.25" customHeight="1" x14ac:dyDescent="0.3">
      <c r="A147" s="13">
        <v>145</v>
      </c>
      <c r="B147" s="32" t="s">
        <v>261</v>
      </c>
      <c r="C147" s="35" t="s">
        <v>144</v>
      </c>
      <c r="D147" s="32"/>
      <c r="E147" s="32"/>
    </row>
    <row r="148" spans="1:5" ht="14.25" customHeight="1" x14ac:dyDescent="0.3">
      <c r="A148" s="13">
        <v>146</v>
      </c>
      <c r="B148" s="32" t="s">
        <v>262</v>
      </c>
      <c r="C148" s="35" t="s">
        <v>144</v>
      </c>
      <c r="D148" s="32"/>
      <c r="E148" s="32"/>
    </row>
    <row r="149" spans="1:5" ht="14.25" customHeight="1" x14ac:dyDescent="0.3">
      <c r="A149" s="13">
        <v>147</v>
      </c>
      <c r="B149" s="32" t="s">
        <v>263</v>
      </c>
      <c r="C149" s="35" t="s">
        <v>144</v>
      </c>
      <c r="D149" s="32"/>
      <c r="E149" s="32"/>
    </row>
    <row r="150" spans="1:5" ht="14.25" customHeight="1" x14ac:dyDescent="0.3">
      <c r="A150" s="13">
        <v>148</v>
      </c>
      <c r="B150" s="32" t="s">
        <v>264</v>
      </c>
      <c r="C150" s="35" t="s">
        <v>144</v>
      </c>
      <c r="D150" s="32"/>
      <c r="E150" s="32"/>
    </row>
    <row r="151" spans="1:5" ht="14.25" customHeight="1" x14ac:dyDescent="0.3">
      <c r="A151" s="13">
        <v>149</v>
      </c>
      <c r="B151" s="32" t="s">
        <v>91</v>
      </c>
      <c r="C151" s="35" t="s">
        <v>144</v>
      </c>
      <c r="D151" s="32"/>
      <c r="E151" s="32"/>
    </row>
    <row r="152" spans="1:5" ht="14.25" customHeight="1" x14ac:dyDescent="0.3">
      <c r="A152" s="13">
        <v>150</v>
      </c>
      <c r="B152" s="32" t="s">
        <v>265</v>
      </c>
      <c r="C152" s="35" t="s">
        <v>144</v>
      </c>
      <c r="D152" s="32"/>
      <c r="E152" s="32"/>
    </row>
    <row r="153" spans="1:5" ht="14.25" customHeight="1" x14ac:dyDescent="0.3">
      <c r="A153" s="13">
        <v>151</v>
      </c>
      <c r="B153" s="32" t="s">
        <v>266</v>
      </c>
      <c r="C153" s="35" t="s">
        <v>144</v>
      </c>
      <c r="D153" s="32"/>
      <c r="E153" s="32"/>
    </row>
    <row r="154" spans="1:5" ht="14.25" customHeight="1" x14ac:dyDescent="0.3">
      <c r="A154" s="13">
        <v>152</v>
      </c>
      <c r="B154" s="32" t="s">
        <v>267</v>
      </c>
      <c r="C154" s="35" t="s">
        <v>144</v>
      </c>
      <c r="D154" s="32"/>
      <c r="E154" s="32"/>
    </row>
    <row r="155" spans="1:5" ht="14.25" customHeight="1" x14ac:dyDescent="0.3">
      <c r="A155" s="13">
        <v>153</v>
      </c>
      <c r="B155" s="32" t="s">
        <v>268</v>
      </c>
      <c r="C155" s="35" t="s">
        <v>144</v>
      </c>
      <c r="D155" s="32"/>
      <c r="E155" s="32"/>
    </row>
    <row r="156" spans="1:5" ht="14.25" customHeight="1" x14ac:dyDescent="0.3">
      <c r="A156" s="13">
        <v>154</v>
      </c>
      <c r="B156" s="32" t="s">
        <v>269</v>
      </c>
      <c r="C156" s="35" t="s">
        <v>144</v>
      </c>
      <c r="D156" s="32"/>
      <c r="E156" s="32"/>
    </row>
    <row r="157" spans="1:5" ht="14.25" customHeight="1" x14ac:dyDescent="0.3">
      <c r="A157" s="13">
        <v>155</v>
      </c>
      <c r="B157" s="32" t="s">
        <v>270</v>
      </c>
      <c r="C157" s="35" t="s">
        <v>144</v>
      </c>
      <c r="D157" s="32"/>
      <c r="E157" s="32"/>
    </row>
    <row r="158" spans="1:5" ht="14.25" customHeight="1" x14ac:dyDescent="0.3">
      <c r="A158" s="13">
        <v>156</v>
      </c>
      <c r="B158" s="32" t="s">
        <v>271</v>
      </c>
      <c r="C158" s="35" t="s">
        <v>144</v>
      </c>
      <c r="D158" s="32"/>
      <c r="E158" s="32"/>
    </row>
    <row r="159" spans="1:5" ht="14.25" customHeight="1" x14ac:dyDescent="0.3">
      <c r="A159" s="13">
        <v>157</v>
      </c>
      <c r="B159" s="32" t="s">
        <v>272</v>
      </c>
      <c r="C159" s="35" t="s">
        <v>144</v>
      </c>
      <c r="D159" s="32"/>
      <c r="E159" s="32"/>
    </row>
    <row r="160" spans="1:5" ht="14.25" customHeight="1" x14ac:dyDescent="0.3">
      <c r="A160" s="13">
        <v>158</v>
      </c>
      <c r="B160" s="32" t="s">
        <v>273</v>
      </c>
      <c r="C160" s="35" t="s">
        <v>144</v>
      </c>
      <c r="D160" s="32"/>
      <c r="E160" s="32"/>
    </row>
    <row r="161" spans="1:5" ht="14.25" customHeight="1" x14ac:dyDescent="0.3">
      <c r="A161" s="13">
        <v>159</v>
      </c>
      <c r="B161" s="32" t="s">
        <v>274</v>
      </c>
      <c r="C161" s="35" t="s">
        <v>144</v>
      </c>
      <c r="D161" s="32"/>
      <c r="E161" s="32"/>
    </row>
    <row r="162" spans="1:5" ht="14.25" customHeight="1" x14ac:dyDescent="0.3">
      <c r="A162" s="13">
        <v>160</v>
      </c>
      <c r="B162" s="32" t="s">
        <v>275</v>
      </c>
      <c r="C162" s="35" t="s">
        <v>144</v>
      </c>
      <c r="D162" s="32"/>
      <c r="E162" s="32"/>
    </row>
    <row r="163" spans="1:5" ht="14.25" customHeight="1" x14ac:dyDescent="0.3">
      <c r="A163" s="13">
        <v>161</v>
      </c>
      <c r="B163" s="32" t="s">
        <v>100</v>
      </c>
      <c r="C163" s="35" t="s">
        <v>144</v>
      </c>
      <c r="D163" s="32"/>
      <c r="E163" s="32"/>
    </row>
    <row r="164" spans="1:5" ht="14.25" customHeight="1" x14ac:dyDescent="0.3">
      <c r="A164" s="13">
        <v>162</v>
      </c>
      <c r="B164" s="32" t="s">
        <v>276</v>
      </c>
      <c r="C164" s="35" t="s">
        <v>144</v>
      </c>
      <c r="D164" s="32"/>
      <c r="E164" s="32"/>
    </row>
    <row r="165" spans="1:5" ht="14.25" customHeight="1" x14ac:dyDescent="0.3">
      <c r="A165" s="13">
        <v>163</v>
      </c>
      <c r="B165" s="32" t="s">
        <v>277</v>
      </c>
      <c r="C165" s="35" t="s">
        <v>144</v>
      </c>
      <c r="D165" s="32"/>
      <c r="E165" s="32"/>
    </row>
    <row r="166" spans="1:5" ht="14.25" customHeight="1" x14ac:dyDescent="0.3">
      <c r="A166" s="13">
        <v>164</v>
      </c>
      <c r="B166" s="32" t="s">
        <v>278</v>
      </c>
      <c r="C166" s="35" t="s">
        <v>144</v>
      </c>
      <c r="D166" s="32"/>
      <c r="E166" s="32"/>
    </row>
    <row r="167" spans="1:5" ht="14.25" customHeight="1" x14ac:dyDescent="0.3">
      <c r="A167" s="13">
        <v>165</v>
      </c>
      <c r="B167" s="32" t="s">
        <v>279</v>
      </c>
      <c r="C167" s="35" t="s">
        <v>144</v>
      </c>
      <c r="D167" s="32"/>
      <c r="E167" s="32"/>
    </row>
    <row r="168" spans="1:5" ht="14.25" customHeight="1" x14ac:dyDescent="0.3">
      <c r="A168" s="13">
        <v>166</v>
      </c>
      <c r="B168" s="32" t="s">
        <v>280</v>
      </c>
      <c r="C168" s="35" t="s">
        <v>144</v>
      </c>
      <c r="D168" s="32"/>
      <c r="E168" s="32"/>
    </row>
    <row r="169" spans="1:5" ht="14.25" customHeight="1" x14ac:dyDescent="0.3">
      <c r="A169" s="13">
        <v>167</v>
      </c>
      <c r="B169" s="32" t="s">
        <v>281</v>
      </c>
      <c r="C169" s="35" t="s">
        <v>144</v>
      </c>
      <c r="D169" s="32"/>
      <c r="E169" s="32"/>
    </row>
    <row r="170" spans="1:5" ht="14.25" customHeight="1" x14ac:dyDescent="0.3">
      <c r="A170" s="13">
        <v>168</v>
      </c>
      <c r="B170" s="32" t="s">
        <v>282</v>
      </c>
      <c r="C170" s="35" t="s">
        <v>144</v>
      </c>
      <c r="D170" s="32"/>
      <c r="E170" s="32"/>
    </row>
    <row r="171" spans="1:5" ht="14.25" customHeight="1" x14ac:dyDescent="0.3">
      <c r="A171" s="13">
        <v>169</v>
      </c>
      <c r="B171" s="32" t="s">
        <v>283</v>
      </c>
      <c r="C171" s="35" t="s">
        <v>144</v>
      </c>
      <c r="D171" s="32"/>
      <c r="E171" s="32"/>
    </row>
    <row r="172" spans="1:5" ht="14.25" customHeight="1" x14ac:dyDescent="0.3">
      <c r="A172" s="13">
        <v>170</v>
      </c>
      <c r="B172" s="32" t="s">
        <v>284</v>
      </c>
      <c r="C172" s="35" t="s">
        <v>144</v>
      </c>
      <c r="D172" s="32"/>
      <c r="E172" s="32"/>
    </row>
    <row r="173" spans="1:5" ht="14.25" customHeight="1" x14ac:dyDescent="0.3">
      <c r="A173" s="13">
        <v>171</v>
      </c>
      <c r="B173" s="32" t="s">
        <v>285</v>
      </c>
      <c r="C173" s="35" t="s">
        <v>144</v>
      </c>
      <c r="D173" s="32"/>
      <c r="E173" s="32"/>
    </row>
    <row r="174" spans="1:5" ht="14.25" customHeight="1" x14ac:dyDescent="0.3">
      <c r="A174" s="13">
        <v>172</v>
      </c>
      <c r="B174" s="32" t="s">
        <v>286</v>
      </c>
      <c r="C174" s="35" t="s">
        <v>144</v>
      </c>
      <c r="D174" s="32"/>
      <c r="E174" s="32"/>
    </row>
    <row r="175" spans="1:5" ht="14.25" customHeight="1" x14ac:dyDescent="0.3">
      <c r="A175" s="13">
        <v>173</v>
      </c>
      <c r="B175" s="32" t="s">
        <v>287</v>
      </c>
      <c r="C175" s="35" t="s">
        <v>144</v>
      </c>
      <c r="D175" s="32"/>
      <c r="E175" s="32"/>
    </row>
    <row r="176" spans="1:5" ht="14.25" customHeight="1" x14ac:dyDescent="0.3">
      <c r="A176" s="13">
        <v>174</v>
      </c>
      <c r="B176" s="32" t="s">
        <v>288</v>
      </c>
      <c r="C176" s="35" t="s">
        <v>144</v>
      </c>
      <c r="D176" s="32"/>
      <c r="E176" s="32"/>
    </row>
    <row r="177" spans="1:5" ht="14.25" customHeight="1" x14ac:dyDescent="0.3">
      <c r="A177" s="13">
        <v>175</v>
      </c>
      <c r="B177" s="32" t="s">
        <v>289</v>
      </c>
      <c r="C177" s="35" t="s">
        <v>144</v>
      </c>
      <c r="D177" s="32"/>
      <c r="E177" s="32"/>
    </row>
    <row r="178" spans="1:5" ht="14.25" customHeight="1" x14ac:dyDescent="0.3">
      <c r="A178" s="13">
        <v>176</v>
      </c>
      <c r="B178" s="32" t="s">
        <v>290</v>
      </c>
      <c r="C178" s="35" t="s">
        <v>144</v>
      </c>
      <c r="D178" s="32"/>
      <c r="E178" s="32"/>
    </row>
    <row r="179" spans="1:5" ht="14.25" customHeight="1" x14ac:dyDescent="0.3">
      <c r="A179" s="13">
        <v>177</v>
      </c>
      <c r="B179" s="32" t="s">
        <v>117</v>
      </c>
      <c r="C179" s="35" t="s">
        <v>144</v>
      </c>
      <c r="D179" s="32"/>
      <c r="E179" s="32"/>
    </row>
    <row r="180" spans="1:5" ht="14.25" customHeight="1" x14ac:dyDescent="0.3">
      <c r="A180" s="13">
        <v>178</v>
      </c>
      <c r="B180" s="32" t="s">
        <v>291</v>
      </c>
      <c r="C180" s="35" t="s">
        <v>144</v>
      </c>
      <c r="D180" s="32"/>
      <c r="E180" s="32"/>
    </row>
    <row r="181" spans="1:5" ht="14.25" customHeight="1" x14ac:dyDescent="0.3">
      <c r="A181" s="13">
        <v>179</v>
      </c>
      <c r="B181" s="32" t="s">
        <v>292</v>
      </c>
      <c r="C181" s="35" t="s">
        <v>144</v>
      </c>
      <c r="D181" s="32"/>
      <c r="E181" s="32"/>
    </row>
    <row r="182" spans="1:5" ht="14.25" customHeight="1" x14ac:dyDescent="0.3">
      <c r="A182" s="13">
        <v>180</v>
      </c>
      <c r="B182" s="32" t="s">
        <v>293</v>
      </c>
      <c r="C182" s="35" t="s">
        <v>144</v>
      </c>
      <c r="D182" s="32"/>
      <c r="E182" s="32"/>
    </row>
    <row r="183" spans="1:5" ht="14.25" customHeight="1" x14ac:dyDescent="0.3">
      <c r="A183" s="13">
        <v>181</v>
      </c>
      <c r="B183" s="32" t="s">
        <v>294</v>
      </c>
      <c r="C183" s="35" t="s">
        <v>144</v>
      </c>
      <c r="D183" s="32"/>
      <c r="E183" s="32"/>
    </row>
    <row r="184" spans="1:5" ht="14.25" customHeight="1" x14ac:dyDescent="0.3">
      <c r="A184" s="13">
        <v>182</v>
      </c>
      <c r="B184" s="32" t="s">
        <v>295</v>
      </c>
      <c r="C184" s="35" t="s">
        <v>144</v>
      </c>
      <c r="D184" s="32"/>
      <c r="E184" s="32"/>
    </row>
    <row r="185" spans="1:5" ht="14.25" customHeight="1" x14ac:dyDescent="0.3">
      <c r="A185" s="13">
        <v>183</v>
      </c>
      <c r="B185" s="32" t="s">
        <v>296</v>
      </c>
      <c r="C185" s="35" t="s">
        <v>144</v>
      </c>
      <c r="D185" s="32"/>
      <c r="E185" s="32"/>
    </row>
    <row r="186" spans="1:5" ht="14.25" customHeight="1" x14ac:dyDescent="0.3">
      <c r="A186" s="13">
        <v>184</v>
      </c>
      <c r="B186" s="32" t="s">
        <v>118</v>
      </c>
      <c r="C186" s="35" t="s">
        <v>144</v>
      </c>
      <c r="D186" s="32"/>
      <c r="E186" s="32"/>
    </row>
    <row r="187" spans="1:5" ht="14.25" customHeight="1" x14ac:dyDescent="0.3">
      <c r="A187" s="13">
        <v>185</v>
      </c>
      <c r="B187" s="32" t="s">
        <v>297</v>
      </c>
      <c r="C187" s="35" t="s">
        <v>144</v>
      </c>
      <c r="D187" s="32"/>
      <c r="E187" s="32"/>
    </row>
    <row r="188" spans="1:5" ht="14.25" customHeight="1" x14ac:dyDescent="0.3">
      <c r="A188" s="13">
        <v>186</v>
      </c>
      <c r="B188" s="32" t="s">
        <v>298</v>
      </c>
      <c r="C188" s="35" t="s">
        <v>144</v>
      </c>
      <c r="D188" s="32"/>
      <c r="E188" s="32"/>
    </row>
    <row r="189" spans="1:5" ht="14.25" customHeight="1" x14ac:dyDescent="0.3">
      <c r="A189" s="13">
        <v>187</v>
      </c>
      <c r="B189" s="32" t="s">
        <v>299</v>
      </c>
      <c r="C189" s="35" t="s">
        <v>144</v>
      </c>
      <c r="D189" s="32"/>
      <c r="E189" s="32"/>
    </row>
    <row r="190" spans="1:5" ht="14.25" customHeight="1" x14ac:dyDescent="0.3">
      <c r="A190" s="13">
        <v>188</v>
      </c>
      <c r="B190" s="32" t="s">
        <v>300</v>
      </c>
      <c r="C190" s="35" t="s">
        <v>144</v>
      </c>
      <c r="D190" s="32"/>
      <c r="E190" s="32"/>
    </row>
    <row r="191" spans="1:5" ht="14.25" customHeight="1" x14ac:dyDescent="0.3">
      <c r="A191" s="13">
        <v>189</v>
      </c>
      <c r="B191" s="32" t="s">
        <v>301</v>
      </c>
      <c r="C191" s="35" t="s">
        <v>144</v>
      </c>
      <c r="D191" s="32"/>
      <c r="E191" s="32"/>
    </row>
    <row r="192" spans="1:5" ht="14.25" customHeight="1" x14ac:dyDescent="0.3">
      <c r="A192" s="13">
        <v>190</v>
      </c>
      <c r="B192" s="32" t="s">
        <v>302</v>
      </c>
      <c r="C192" s="35" t="s">
        <v>144</v>
      </c>
      <c r="D192" s="32"/>
      <c r="E192" s="32"/>
    </row>
    <row r="193" spans="1:5" ht="14.25" customHeight="1" x14ac:dyDescent="0.3">
      <c r="A193" s="13">
        <v>191</v>
      </c>
      <c r="B193" s="32" t="s">
        <v>303</v>
      </c>
      <c r="C193" s="35" t="s">
        <v>144</v>
      </c>
      <c r="D193" s="32"/>
      <c r="E193" s="32"/>
    </row>
    <row r="194" spans="1:5" ht="14.25" customHeight="1" x14ac:dyDescent="0.3">
      <c r="A194" s="13">
        <v>192</v>
      </c>
      <c r="B194" s="32" t="s">
        <v>131</v>
      </c>
      <c r="C194" s="35" t="s">
        <v>144</v>
      </c>
      <c r="D194" s="32"/>
      <c r="E194" s="32"/>
    </row>
    <row r="195" spans="1:5" ht="14.25" customHeight="1" x14ac:dyDescent="0.3">
      <c r="A195" s="13">
        <v>193</v>
      </c>
      <c r="B195" s="32" t="s">
        <v>304</v>
      </c>
      <c r="C195" s="35" t="s">
        <v>144</v>
      </c>
      <c r="D195" s="32"/>
      <c r="E195" s="32"/>
    </row>
    <row r="196" spans="1:5" ht="14.25" customHeight="1" x14ac:dyDescent="0.3">
      <c r="A196" s="13">
        <v>194</v>
      </c>
      <c r="B196" s="32" t="s">
        <v>305</v>
      </c>
      <c r="C196" s="35" t="s">
        <v>144</v>
      </c>
      <c r="D196" s="32"/>
      <c r="E196" s="32"/>
    </row>
    <row r="197" spans="1:5" ht="14.25" customHeight="1" x14ac:dyDescent="0.3">
      <c r="A197" s="13">
        <v>195</v>
      </c>
      <c r="B197" s="32" t="s">
        <v>306</v>
      </c>
      <c r="C197" s="35" t="s">
        <v>144</v>
      </c>
      <c r="D197" s="32"/>
      <c r="E197" s="32"/>
    </row>
    <row r="198" spans="1:5" ht="14.25" customHeight="1" x14ac:dyDescent="0.3">
      <c r="A198" s="13">
        <v>196</v>
      </c>
      <c r="B198" s="32" t="s">
        <v>307</v>
      </c>
      <c r="C198" s="35" t="s">
        <v>144</v>
      </c>
      <c r="D198" s="32"/>
      <c r="E198" s="32"/>
    </row>
    <row r="199" spans="1:5" ht="14.25" customHeight="1" x14ac:dyDescent="0.3">
      <c r="A199" s="13">
        <v>197</v>
      </c>
      <c r="B199" s="32" t="s">
        <v>308</v>
      </c>
      <c r="C199" s="35" t="s">
        <v>144</v>
      </c>
      <c r="D199" s="32"/>
      <c r="E199" s="32"/>
    </row>
    <row r="200" spans="1:5" ht="14.25" customHeight="1" x14ac:dyDescent="0.3">
      <c r="A200" s="13">
        <v>198</v>
      </c>
      <c r="B200" s="32" t="s">
        <v>309</v>
      </c>
      <c r="C200" s="35" t="s">
        <v>144</v>
      </c>
      <c r="D200" s="32"/>
      <c r="E200" s="32"/>
    </row>
    <row r="201" spans="1:5" ht="14.25" customHeight="1" x14ac:dyDescent="0.3">
      <c r="A201" s="13">
        <v>199</v>
      </c>
      <c r="B201" s="32" t="s">
        <v>310</v>
      </c>
      <c r="C201" s="35" t="s">
        <v>144</v>
      </c>
      <c r="D201" s="32"/>
      <c r="E201" s="32"/>
    </row>
    <row r="202" spans="1:5" ht="14.25" customHeight="1" x14ac:dyDescent="0.3">
      <c r="A202" s="13">
        <v>200</v>
      </c>
      <c r="B202" s="32" t="s">
        <v>311</v>
      </c>
      <c r="C202" s="35" t="s">
        <v>144</v>
      </c>
      <c r="D202" s="32"/>
      <c r="E202" s="32"/>
    </row>
    <row r="203" spans="1:5" ht="14.25" customHeight="1" x14ac:dyDescent="0.3">
      <c r="A203" s="13">
        <v>201</v>
      </c>
      <c r="B203" s="32" t="s">
        <v>312</v>
      </c>
      <c r="C203" s="35" t="s">
        <v>144</v>
      </c>
      <c r="D203" s="32"/>
      <c r="E203" s="32"/>
    </row>
    <row r="204" spans="1:5" ht="14.25" customHeight="1" x14ac:dyDescent="0.3">
      <c r="A204" s="13">
        <v>202</v>
      </c>
      <c r="B204" s="32" t="s">
        <v>313</v>
      </c>
      <c r="C204" s="35" t="s">
        <v>144</v>
      </c>
      <c r="D204" s="32"/>
      <c r="E204" s="32"/>
    </row>
    <row r="205" spans="1:5" ht="14.25" customHeight="1" x14ac:dyDescent="0.3">
      <c r="A205" s="13">
        <v>203</v>
      </c>
      <c r="B205" s="32" t="s">
        <v>314</v>
      </c>
      <c r="C205" s="35" t="s">
        <v>144</v>
      </c>
      <c r="D205" s="32"/>
      <c r="E205" s="32"/>
    </row>
    <row r="206" spans="1:5" ht="14.25" customHeight="1" x14ac:dyDescent="0.3">
      <c r="A206" s="13">
        <v>204</v>
      </c>
      <c r="B206" s="32" t="s">
        <v>192</v>
      </c>
      <c r="C206" s="35" t="s">
        <v>144</v>
      </c>
      <c r="D206" s="32"/>
      <c r="E206" s="32"/>
    </row>
  </sheetData>
  <pageMargins left="0.7" right="0.7" top="0.75" bottom="0.75" header="0" footer="0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5"/>
  <dimension ref="A1:E180"/>
  <sheetViews>
    <sheetView tabSelected="1" topLeftCell="A155" workbookViewId="0">
      <selection activeCell="A2" sqref="A2:E176"/>
    </sheetView>
  </sheetViews>
  <sheetFormatPr baseColWidth="10" defaultColWidth="14.44140625" defaultRowHeight="15" customHeight="1" x14ac:dyDescent="0.3"/>
  <cols>
    <col min="1" max="1" width="49.77734375" customWidth="1"/>
    <col min="2" max="2" width="11.44140625" customWidth="1"/>
    <col min="3" max="3" width="6" customWidth="1"/>
    <col min="4" max="4" width="4.44140625" customWidth="1"/>
    <col min="5" max="5" width="7.77734375" customWidth="1"/>
    <col min="6" max="7" width="10.6640625" customWidth="1"/>
    <col min="8" max="19" width="17.44140625" customWidth="1"/>
    <col min="20" max="26" width="10.6640625" customWidth="1"/>
  </cols>
  <sheetData>
    <row r="1" spans="1:5" ht="14.25" customHeight="1" x14ac:dyDescent="0.3">
      <c r="A1" s="13" t="s">
        <v>315</v>
      </c>
      <c r="B1" s="13" t="s">
        <v>316</v>
      </c>
      <c r="C1" s="13" t="s">
        <v>317</v>
      </c>
      <c r="D1" s="13" t="s">
        <v>318</v>
      </c>
    </row>
    <row r="2" spans="1:5" ht="14.25" customHeight="1" x14ac:dyDescent="0.3">
      <c r="A2" s="37" t="s">
        <v>319</v>
      </c>
      <c r="B2" s="13" t="s">
        <v>320</v>
      </c>
      <c r="C2" s="13">
        <v>1</v>
      </c>
      <c r="D2" s="37">
        <v>5</v>
      </c>
      <c r="E2" s="13" t="s">
        <v>321</v>
      </c>
    </row>
    <row r="3" spans="1:5" ht="14.25" customHeight="1" x14ac:dyDescent="0.3">
      <c r="A3" s="37" t="s">
        <v>322</v>
      </c>
      <c r="B3" s="13" t="s">
        <v>323</v>
      </c>
      <c r="C3" s="13">
        <v>1</v>
      </c>
      <c r="D3" s="37">
        <v>4</v>
      </c>
      <c r="E3" s="13" t="s">
        <v>321</v>
      </c>
    </row>
    <row r="4" spans="1:5" ht="14.25" customHeight="1" x14ac:dyDescent="0.3">
      <c r="A4" s="37" t="s">
        <v>324</v>
      </c>
      <c r="B4" s="13" t="s">
        <v>325</v>
      </c>
      <c r="C4" s="13">
        <v>1</v>
      </c>
      <c r="D4" s="37">
        <v>7</v>
      </c>
      <c r="E4" s="13" t="s">
        <v>321</v>
      </c>
    </row>
    <row r="5" spans="1:5" ht="14.25" customHeight="1" x14ac:dyDescent="0.3">
      <c r="A5" s="37" t="s">
        <v>326</v>
      </c>
      <c r="B5" s="13" t="s">
        <v>327</v>
      </c>
      <c r="C5" s="13">
        <v>1</v>
      </c>
      <c r="D5" s="37">
        <v>6</v>
      </c>
      <c r="E5" s="13" t="s">
        <v>321</v>
      </c>
    </row>
    <row r="6" spans="1:5" ht="14.25" customHeight="1" x14ac:dyDescent="0.3">
      <c r="A6" s="37" t="s">
        <v>328</v>
      </c>
      <c r="B6" s="13" t="s">
        <v>329</v>
      </c>
      <c r="C6" s="13">
        <v>1</v>
      </c>
      <c r="D6" s="37">
        <v>4</v>
      </c>
      <c r="E6" s="13" t="s">
        <v>321</v>
      </c>
    </row>
    <row r="7" spans="1:5" ht="14.25" customHeight="1" x14ac:dyDescent="0.3">
      <c r="A7" s="37" t="s">
        <v>330</v>
      </c>
      <c r="B7" s="13" t="s">
        <v>331</v>
      </c>
      <c r="C7" s="13">
        <v>1</v>
      </c>
      <c r="D7" s="37">
        <v>4</v>
      </c>
      <c r="E7" s="13" t="s">
        <v>321</v>
      </c>
    </row>
    <row r="8" spans="1:5" ht="14.25" customHeight="1" x14ac:dyDescent="0.3">
      <c r="A8" s="37" t="s">
        <v>332</v>
      </c>
      <c r="B8" s="13" t="s">
        <v>333</v>
      </c>
      <c r="C8" s="13">
        <v>1</v>
      </c>
      <c r="D8" s="37">
        <v>5</v>
      </c>
      <c r="E8" s="13" t="s">
        <v>321</v>
      </c>
    </row>
    <row r="9" spans="1:5" ht="14.25" customHeight="1" x14ac:dyDescent="0.3">
      <c r="A9" s="37" t="s">
        <v>334</v>
      </c>
      <c r="C9" s="13">
        <v>1</v>
      </c>
      <c r="D9" s="37">
        <v>1</v>
      </c>
      <c r="E9" s="13" t="s">
        <v>321</v>
      </c>
    </row>
    <row r="10" spans="1:5" ht="14.25" customHeight="1" x14ac:dyDescent="0.3">
      <c r="A10" s="37" t="s">
        <v>335</v>
      </c>
      <c r="C10" s="13">
        <v>1</v>
      </c>
      <c r="D10" s="37">
        <v>2</v>
      </c>
      <c r="E10" s="13" t="s">
        <v>321</v>
      </c>
    </row>
    <row r="11" spans="1:5" ht="14.25" customHeight="1" x14ac:dyDescent="0.3">
      <c r="A11" s="13" t="s">
        <v>336</v>
      </c>
      <c r="B11" s="13" t="s">
        <v>337</v>
      </c>
      <c r="C11" s="13">
        <v>2</v>
      </c>
      <c r="D11" s="13">
        <v>5</v>
      </c>
      <c r="E11" s="13" t="s">
        <v>321</v>
      </c>
    </row>
    <row r="12" spans="1:5" ht="14.25" customHeight="1" x14ac:dyDescent="0.3">
      <c r="A12" s="13" t="s">
        <v>95</v>
      </c>
      <c r="B12" s="13" t="s">
        <v>338</v>
      </c>
      <c r="C12" s="13">
        <v>2</v>
      </c>
      <c r="D12" s="13">
        <v>4</v>
      </c>
      <c r="E12" s="13" t="s">
        <v>321</v>
      </c>
    </row>
    <row r="13" spans="1:5" ht="14.25" customHeight="1" x14ac:dyDescent="0.3">
      <c r="A13" s="13" t="s">
        <v>339</v>
      </c>
      <c r="B13" s="13" t="s">
        <v>340</v>
      </c>
      <c r="C13" s="13">
        <v>2</v>
      </c>
      <c r="D13" s="13">
        <v>6</v>
      </c>
      <c r="E13" s="13" t="s">
        <v>321</v>
      </c>
    </row>
    <row r="14" spans="1:5" ht="14.25" customHeight="1" x14ac:dyDescent="0.3">
      <c r="A14" s="13" t="s">
        <v>74</v>
      </c>
      <c r="B14" s="13" t="s">
        <v>341</v>
      </c>
      <c r="C14" s="13">
        <v>2</v>
      </c>
      <c r="D14" s="13">
        <v>6</v>
      </c>
      <c r="E14" s="13" t="s">
        <v>321</v>
      </c>
    </row>
    <row r="15" spans="1:5" ht="14.25" customHeight="1" x14ac:dyDescent="0.3">
      <c r="A15" s="13" t="s">
        <v>111</v>
      </c>
      <c r="B15" s="13" t="s">
        <v>342</v>
      </c>
      <c r="C15" s="13">
        <v>2</v>
      </c>
      <c r="D15" s="13">
        <v>5</v>
      </c>
      <c r="E15" s="13" t="s">
        <v>321</v>
      </c>
    </row>
    <row r="16" spans="1:5" ht="14.25" customHeight="1" x14ac:dyDescent="0.3">
      <c r="A16" s="13" t="s">
        <v>132</v>
      </c>
      <c r="B16" s="13" t="s">
        <v>343</v>
      </c>
      <c r="C16" s="13">
        <v>2</v>
      </c>
      <c r="D16" s="13">
        <v>5</v>
      </c>
      <c r="E16" s="13" t="s">
        <v>321</v>
      </c>
    </row>
    <row r="17" spans="1:5" ht="14.25" customHeight="1" x14ac:dyDescent="0.3">
      <c r="A17" s="13" t="s">
        <v>113</v>
      </c>
      <c r="B17" s="13" t="s">
        <v>344</v>
      </c>
      <c r="C17" s="13">
        <v>2</v>
      </c>
      <c r="D17" s="13">
        <v>4</v>
      </c>
      <c r="E17" s="13" t="s">
        <v>321</v>
      </c>
    </row>
    <row r="18" spans="1:5" ht="14.25" customHeight="1" x14ac:dyDescent="0.3">
      <c r="A18" s="37" t="s">
        <v>345</v>
      </c>
      <c r="C18" s="13">
        <v>2</v>
      </c>
      <c r="D18" s="13">
        <v>1</v>
      </c>
      <c r="E18" s="13" t="s">
        <v>321</v>
      </c>
    </row>
    <row r="19" spans="1:5" ht="14.25" customHeight="1" x14ac:dyDescent="0.3">
      <c r="A19" s="37" t="s">
        <v>346</v>
      </c>
      <c r="C19" s="13">
        <v>2</v>
      </c>
      <c r="D19" s="13">
        <v>2</v>
      </c>
      <c r="E19" s="13" t="s">
        <v>321</v>
      </c>
    </row>
    <row r="20" spans="1:5" ht="14.25" customHeight="1" x14ac:dyDescent="0.3">
      <c r="A20" s="37" t="s">
        <v>573</v>
      </c>
      <c r="B20" s="60" t="s">
        <v>566</v>
      </c>
      <c r="C20" s="60">
        <v>3</v>
      </c>
      <c r="D20" s="60">
        <v>5</v>
      </c>
      <c r="E20" s="13" t="s">
        <v>321</v>
      </c>
    </row>
    <row r="21" spans="1:5" ht="14.25" customHeight="1" x14ac:dyDescent="0.3">
      <c r="A21" s="37" t="s">
        <v>574</v>
      </c>
      <c r="B21" s="60" t="s">
        <v>567</v>
      </c>
      <c r="C21" s="60">
        <v>3</v>
      </c>
      <c r="D21" s="60">
        <v>4</v>
      </c>
      <c r="E21" s="13" t="s">
        <v>321</v>
      </c>
    </row>
    <row r="22" spans="1:5" ht="14.25" customHeight="1" x14ac:dyDescent="0.3">
      <c r="A22" s="37" t="s">
        <v>575</v>
      </c>
      <c r="B22" s="60" t="s">
        <v>568</v>
      </c>
      <c r="C22" s="60">
        <v>3</v>
      </c>
      <c r="D22" s="60">
        <v>4</v>
      </c>
      <c r="E22" s="13" t="s">
        <v>321</v>
      </c>
    </row>
    <row r="23" spans="1:5" ht="14.25" customHeight="1" x14ac:dyDescent="0.3">
      <c r="A23" s="37" t="s">
        <v>576</v>
      </c>
      <c r="B23" s="60" t="s">
        <v>569</v>
      </c>
      <c r="C23" s="60">
        <v>3</v>
      </c>
      <c r="D23" s="60">
        <v>6</v>
      </c>
      <c r="E23" s="13" t="s">
        <v>321</v>
      </c>
    </row>
    <row r="24" spans="1:5" ht="14.25" customHeight="1" x14ac:dyDescent="0.3">
      <c r="A24" s="37" t="s">
        <v>577</v>
      </c>
      <c r="B24" s="60" t="s">
        <v>570</v>
      </c>
      <c r="C24" s="60">
        <v>3</v>
      </c>
      <c r="D24" s="60">
        <v>6</v>
      </c>
      <c r="E24" s="13" t="s">
        <v>321</v>
      </c>
    </row>
    <row r="25" spans="1:5" ht="14.25" customHeight="1" x14ac:dyDescent="0.3">
      <c r="A25" s="37" t="s">
        <v>578</v>
      </c>
      <c r="B25" s="60" t="s">
        <v>571</v>
      </c>
      <c r="C25" s="60">
        <v>3</v>
      </c>
      <c r="D25" s="60">
        <v>6</v>
      </c>
      <c r="E25" s="13" t="s">
        <v>321</v>
      </c>
    </row>
    <row r="26" spans="1:5" ht="14.25" customHeight="1" x14ac:dyDescent="0.3">
      <c r="A26" s="37" t="s">
        <v>579</v>
      </c>
      <c r="B26" s="60" t="s">
        <v>572</v>
      </c>
      <c r="C26" s="60">
        <v>3</v>
      </c>
      <c r="D26" s="60">
        <v>4</v>
      </c>
      <c r="E26" s="13" t="s">
        <v>321</v>
      </c>
    </row>
    <row r="27" spans="1:5" ht="14.25" customHeight="1" x14ac:dyDescent="0.3">
      <c r="A27" s="37" t="s">
        <v>580</v>
      </c>
      <c r="B27" s="60"/>
      <c r="C27" s="60">
        <v>3</v>
      </c>
      <c r="D27" s="60">
        <v>1</v>
      </c>
      <c r="E27" s="13" t="s">
        <v>321</v>
      </c>
    </row>
    <row r="28" spans="1:5" ht="14.25" customHeight="1" x14ac:dyDescent="0.3">
      <c r="A28" s="37" t="s">
        <v>581</v>
      </c>
      <c r="B28" s="60"/>
      <c r="C28" s="60">
        <v>3</v>
      </c>
      <c r="D28" s="60">
        <v>2</v>
      </c>
      <c r="E28" s="13" t="s">
        <v>321</v>
      </c>
    </row>
    <row r="29" spans="1:5" ht="14.25" customHeight="1" x14ac:dyDescent="0.3">
      <c r="A29" s="13" t="s">
        <v>319</v>
      </c>
      <c r="B29" s="13" t="s">
        <v>347</v>
      </c>
      <c r="C29" s="13">
        <v>1</v>
      </c>
      <c r="D29" s="13">
        <v>5</v>
      </c>
      <c r="E29" s="13" t="s">
        <v>321</v>
      </c>
    </row>
    <row r="30" spans="1:5" ht="14.25" customHeight="1" x14ac:dyDescent="0.3">
      <c r="A30" s="54" t="s">
        <v>515</v>
      </c>
      <c r="B30" s="13" t="s">
        <v>348</v>
      </c>
      <c r="C30" s="13">
        <v>1</v>
      </c>
      <c r="D30" s="13">
        <v>4</v>
      </c>
      <c r="E30" s="13" t="s">
        <v>321</v>
      </c>
    </row>
    <row r="31" spans="1:5" ht="14.25" customHeight="1" x14ac:dyDescent="0.3">
      <c r="A31" s="54" t="s">
        <v>516</v>
      </c>
      <c r="B31" s="13" t="s">
        <v>349</v>
      </c>
      <c r="C31" s="13">
        <v>1</v>
      </c>
      <c r="D31" s="13">
        <v>7</v>
      </c>
      <c r="E31" s="13" t="s">
        <v>321</v>
      </c>
    </row>
    <row r="32" spans="1:5" ht="14.25" customHeight="1" x14ac:dyDescent="0.3">
      <c r="A32" s="54" t="s">
        <v>517</v>
      </c>
      <c r="B32" s="13" t="s">
        <v>350</v>
      </c>
      <c r="C32" s="13">
        <v>1</v>
      </c>
      <c r="D32" s="13">
        <v>7</v>
      </c>
      <c r="E32" s="13" t="s">
        <v>321</v>
      </c>
    </row>
    <row r="33" spans="1:5" ht="14.25" customHeight="1" x14ac:dyDescent="0.3">
      <c r="A33" s="54" t="s">
        <v>518</v>
      </c>
      <c r="B33" s="13" t="s">
        <v>351</v>
      </c>
      <c r="C33" s="13">
        <v>1</v>
      </c>
      <c r="D33" s="13">
        <v>4</v>
      </c>
      <c r="E33" s="13" t="s">
        <v>321</v>
      </c>
    </row>
    <row r="34" spans="1:5" ht="14.25" customHeight="1" x14ac:dyDescent="0.3">
      <c r="A34" s="54" t="s">
        <v>519</v>
      </c>
      <c r="B34" s="13" t="s">
        <v>352</v>
      </c>
      <c r="C34" s="13">
        <v>1</v>
      </c>
      <c r="D34" s="13">
        <v>3</v>
      </c>
      <c r="E34" s="13" t="s">
        <v>321</v>
      </c>
    </row>
    <row r="35" spans="1:5" ht="14.25" customHeight="1" x14ac:dyDescent="0.3">
      <c r="A35" s="54" t="s">
        <v>520</v>
      </c>
      <c r="B35" s="13" t="s">
        <v>353</v>
      </c>
      <c r="C35" s="13">
        <v>1</v>
      </c>
      <c r="D35" s="13">
        <v>5</v>
      </c>
      <c r="E35" s="13" t="s">
        <v>321</v>
      </c>
    </row>
    <row r="36" spans="1:5" ht="14.25" customHeight="1" x14ac:dyDescent="0.3">
      <c r="A36" s="37" t="s">
        <v>334</v>
      </c>
      <c r="C36" s="13">
        <v>1</v>
      </c>
      <c r="D36" s="37">
        <v>1</v>
      </c>
      <c r="E36" s="13" t="s">
        <v>321</v>
      </c>
    </row>
    <row r="37" spans="1:5" ht="14.25" customHeight="1" x14ac:dyDescent="0.3">
      <c r="A37" s="37" t="s">
        <v>335</v>
      </c>
      <c r="C37" s="13">
        <v>1</v>
      </c>
      <c r="D37" s="37">
        <v>2</v>
      </c>
      <c r="E37" s="13" t="s">
        <v>321</v>
      </c>
    </row>
    <row r="38" spans="1:5" ht="14.25" customHeight="1" x14ac:dyDescent="0.3">
      <c r="A38" s="13" t="s">
        <v>336</v>
      </c>
      <c r="B38" s="13" t="s">
        <v>354</v>
      </c>
      <c r="C38" s="13">
        <v>2</v>
      </c>
      <c r="D38" s="13">
        <v>5</v>
      </c>
      <c r="E38" s="13" t="s">
        <v>321</v>
      </c>
    </row>
    <row r="39" spans="1:5" ht="14.25" customHeight="1" x14ac:dyDescent="0.3">
      <c r="A39" s="52" t="s">
        <v>513</v>
      </c>
      <c r="B39" s="13" t="s">
        <v>355</v>
      </c>
      <c r="C39" s="13">
        <v>2</v>
      </c>
      <c r="D39" s="13">
        <v>4</v>
      </c>
      <c r="E39" s="13" t="s">
        <v>321</v>
      </c>
    </row>
    <row r="40" spans="1:5" ht="14.25" customHeight="1" x14ac:dyDescent="0.3">
      <c r="A40" s="13" t="s">
        <v>55</v>
      </c>
      <c r="B40" s="13" t="s">
        <v>356</v>
      </c>
      <c r="C40" s="13">
        <v>2</v>
      </c>
      <c r="D40" s="13">
        <v>5</v>
      </c>
      <c r="E40" s="13" t="s">
        <v>321</v>
      </c>
    </row>
    <row r="41" spans="1:5" ht="14.25" customHeight="1" x14ac:dyDescent="0.3">
      <c r="A41" s="13" t="s">
        <v>85</v>
      </c>
      <c r="B41" s="13" t="s">
        <v>357</v>
      </c>
      <c r="C41" s="13">
        <v>2</v>
      </c>
      <c r="D41" s="13">
        <v>6</v>
      </c>
      <c r="E41" s="13" t="s">
        <v>321</v>
      </c>
    </row>
    <row r="42" spans="1:5" ht="14.25" customHeight="1" x14ac:dyDescent="0.3">
      <c r="A42" s="13" t="s">
        <v>60</v>
      </c>
      <c r="B42" s="13" t="s">
        <v>358</v>
      </c>
      <c r="C42" s="13">
        <v>2</v>
      </c>
      <c r="D42" s="13">
        <v>5</v>
      </c>
      <c r="E42" s="13" t="s">
        <v>321</v>
      </c>
    </row>
    <row r="43" spans="1:5" ht="14.25" customHeight="1" x14ac:dyDescent="0.3">
      <c r="A43" s="13" t="s">
        <v>50</v>
      </c>
      <c r="B43" s="13" t="s">
        <v>359</v>
      </c>
      <c r="C43" s="13">
        <v>2</v>
      </c>
      <c r="D43" s="13">
        <v>7</v>
      </c>
      <c r="E43" s="13" t="s">
        <v>321</v>
      </c>
    </row>
    <row r="44" spans="1:5" ht="14.25" customHeight="1" x14ac:dyDescent="0.3">
      <c r="A44" s="13" t="s">
        <v>71</v>
      </c>
      <c r="B44" s="13" t="s">
        <v>360</v>
      </c>
      <c r="C44" s="13">
        <v>2</v>
      </c>
      <c r="D44" s="13">
        <v>3</v>
      </c>
      <c r="E44" s="13" t="s">
        <v>321</v>
      </c>
    </row>
    <row r="45" spans="1:5" ht="14.25" customHeight="1" x14ac:dyDescent="0.3">
      <c r="A45" s="37" t="s">
        <v>345</v>
      </c>
      <c r="C45" s="13">
        <v>2</v>
      </c>
      <c r="D45" s="37">
        <v>1</v>
      </c>
      <c r="E45" s="13" t="s">
        <v>321</v>
      </c>
    </row>
    <row r="46" spans="1:5" ht="14.25" customHeight="1" x14ac:dyDescent="0.3">
      <c r="A46" s="37" t="s">
        <v>346</v>
      </c>
      <c r="C46" s="13">
        <v>2</v>
      </c>
      <c r="D46" s="37">
        <v>2</v>
      </c>
      <c r="E46" s="13" t="s">
        <v>321</v>
      </c>
    </row>
    <row r="47" spans="1:5" ht="14.25" customHeight="1" x14ac:dyDescent="0.3">
      <c r="A47" s="60" t="s">
        <v>589</v>
      </c>
      <c r="B47" s="60" t="s">
        <v>582</v>
      </c>
      <c r="C47" s="60">
        <v>3</v>
      </c>
      <c r="D47" s="60">
        <v>5</v>
      </c>
      <c r="E47" s="13" t="s">
        <v>321</v>
      </c>
    </row>
    <row r="48" spans="1:5" ht="14.25" customHeight="1" x14ac:dyDescent="0.3">
      <c r="A48" s="60" t="s">
        <v>590</v>
      </c>
      <c r="B48" s="60" t="s">
        <v>583</v>
      </c>
      <c r="C48" s="60">
        <v>3</v>
      </c>
      <c r="D48" s="60">
        <v>4</v>
      </c>
      <c r="E48" s="13" t="s">
        <v>321</v>
      </c>
    </row>
    <row r="49" spans="1:5" ht="14.25" customHeight="1" x14ac:dyDescent="0.3">
      <c r="A49" s="60" t="s">
        <v>591</v>
      </c>
      <c r="B49" s="60" t="s">
        <v>584</v>
      </c>
      <c r="C49" s="60">
        <v>3</v>
      </c>
      <c r="D49" s="60">
        <v>6</v>
      </c>
      <c r="E49" s="13" t="s">
        <v>321</v>
      </c>
    </row>
    <row r="50" spans="1:5" ht="14.25" customHeight="1" x14ac:dyDescent="0.3">
      <c r="A50" s="60" t="s">
        <v>592</v>
      </c>
      <c r="B50" s="60" t="s">
        <v>585</v>
      </c>
      <c r="C50" s="60">
        <v>3</v>
      </c>
      <c r="D50" s="60">
        <v>6</v>
      </c>
      <c r="E50" s="13" t="s">
        <v>321</v>
      </c>
    </row>
    <row r="51" spans="1:5" ht="14.25" customHeight="1" x14ac:dyDescent="0.3">
      <c r="A51" s="60" t="s">
        <v>593</v>
      </c>
      <c r="B51" s="60" t="s">
        <v>586</v>
      </c>
      <c r="C51" s="60">
        <v>3</v>
      </c>
      <c r="D51" s="60">
        <v>5</v>
      </c>
      <c r="E51" s="13" t="s">
        <v>321</v>
      </c>
    </row>
    <row r="52" spans="1:5" ht="14.25" customHeight="1" x14ac:dyDescent="0.3">
      <c r="A52" s="60" t="s">
        <v>594</v>
      </c>
      <c r="B52" s="60" t="s">
        <v>587</v>
      </c>
      <c r="C52" s="60">
        <v>3</v>
      </c>
      <c r="D52" s="60">
        <v>5</v>
      </c>
      <c r="E52" s="13" t="s">
        <v>321</v>
      </c>
    </row>
    <row r="53" spans="1:5" ht="14.25" customHeight="1" x14ac:dyDescent="0.3">
      <c r="A53" s="60" t="s">
        <v>595</v>
      </c>
      <c r="B53" s="60" t="s">
        <v>588</v>
      </c>
      <c r="C53" s="60">
        <v>3</v>
      </c>
      <c r="D53" s="60">
        <v>4</v>
      </c>
      <c r="E53" s="13" t="s">
        <v>321</v>
      </c>
    </row>
    <row r="54" spans="1:5" ht="14.25" customHeight="1" x14ac:dyDescent="0.3">
      <c r="A54" s="37" t="s">
        <v>596</v>
      </c>
      <c r="C54" s="60">
        <v>3</v>
      </c>
      <c r="D54" s="37">
        <v>1</v>
      </c>
      <c r="E54" s="13" t="s">
        <v>321</v>
      </c>
    </row>
    <row r="55" spans="1:5" ht="14.25" customHeight="1" x14ac:dyDescent="0.3">
      <c r="A55" s="37" t="s">
        <v>597</v>
      </c>
      <c r="C55" s="60">
        <v>3</v>
      </c>
      <c r="D55" s="37">
        <v>2</v>
      </c>
      <c r="E55" s="13" t="s">
        <v>321</v>
      </c>
    </row>
    <row r="56" spans="1:5" ht="14.25" customHeight="1" x14ac:dyDescent="0.3">
      <c r="A56" s="13" t="s">
        <v>110</v>
      </c>
      <c r="B56" s="13" t="s">
        <v>361</v>
      </c>
      <c r="C56" s="13">
        <v>3</v>
      </c>
      <c r="D56" s="13">
        <v>3</v>
      </c>
      <c r="E56" s="13" t="s">
        <v>362</v>
      </c>
    </row>
    <row r="57" spans="1:5" ht="14.25" customHeight="1" x14ac:dyDescent="0.3">
      <c r="A57" s="13" t="s">
        <v>107</v>
      </c>
      <c r="B57" s="13" t="s">
        <v>363</v>
      </c>
      <c r="C57" s="13">
        <v>3</v>
      </c>
      <c r="D57" s="13">
        <v>3</v>
      </c>
      <c r="E57" s="13" t="s">
        <v>362</v>
      </c>
    </row>
    <row r="58" spans="1:5" ht="14.25" customHeight="1" x14ac:dyDescent="0.3">
      <c r="A58" s="13" t="s">
        <v>364</v>
      </c>
      <c r="B58" s="13" t="s">
        <v>365</v>
      </c>
      <c r="C58" s="13">
        <v>3</v>
      </c>
      <c r="D58" s="13">
        <v>5</v>
      </c>
      <c r="E58" s="13" t="s">
        <v>362</v>
      </c>
    </row>
    <row r="59" spans="1:5" ht="14.25" customHeight="1" x14ac:dyDescent="0.3">
      <c r="A59" s="13" t="s">
        <v>97</v>
      </c>
      <c r="B59" s="13" t="s">
        <v>366</v>
      </c>
      <c r="C59" s="13">
        <v>3</v>
      </c>
      <c r="D59" s="13">
        <v>7</v>
      </c>
      <c r="E59" s="13" t="s">
        <v>362</v>
      </c>
    </row>
    <row r="60" spans="1:5" ht="14.25" customHeight="1" x14ac:dyDescent="0.3">
      <c r="A60" s="13" t="s">
        <v>136</v>
      </c>
      <c r="B60" s="13" t="s">
        <v>367</v>
      </c>
      <c r="C60" s="13">
        <v>3</v>
      </c>
      <c r="D60" s="13">
        <v>4</v>
      </c>
      <c r="E60" s="13" t="s">
        <v>362</v>
      </c>
    </row>
    <row r="61" spans="1:5" ht="14.25" customHeight="1" x14ac:dyDescent="0.3">
      <c r="A61" s="13" t="s">
        <v>63</v>
      </c>
      <c r="B61" s="13" t="s">
        <v>368</v>
      </c>
      <c r="C61" s="13">
        <v>3</v>
      </c>
      <c r="D61" s="13">
        <v>6</v>
      </c>
      <c r="E61" s="13" t="s">
        <v>362</v>
      </c>
    </row>
    <row r="62" spans="1:5" ht="14.25" customHeight="1" x14ac:dyDescent="0.3">
      <c r="A62" s="13" t="s">
        <v>369</v>
      </c>
      <c r="B62" s="13" t="s">
        <v>370</v>
      </c>
      <c r="C62" s="13">
        <v>3</v>
      </c>
      <c r="D62" s="13">
        <v>4</v>
      </c>
      <c r="E62" s="13" t="s">
        <v>362</v>
      </c>
    </row>
    <row r="63" spans="1:5" ht="14.25" customHeight="1" x14ac:dyDescent="0.3">
      <c r="A63" s="13" t="s">
        <v>94</v>
      </c>
      <c r="B63" s="13" t="s">
        <v>371</v>
      </c>
      <c r="C63" s="13">
        <v>3</v>
      </c>
      <c r="D63" s="13">
        <v>2</v>
      </c>
      <c r="E63" s="13" t="s">
        <v>362</v>
      </c>
    </row>
    <row r="64" spans="1:5" ht="14.25" customHeight="1" x14ac:dyDescent="0.3">
      <c r="A64" s="13" t="s">
        <v>56</v>
      </c>
      <c r="B64" s="13" t="s">
        <v>372</v>
      </c>
      <c r="C64" s="13">
        <v>4</v>
      </c>
      <c r="D64" s="13">
        <v>4</v>
      </c>
      <c r="E64" s="13" t="s">
        <v>362</v>
      </c>
    </row>
    <row r="65" spans="1:5" ht="14.25" customHeight="1" x14ac:dyDescent="0.3">
      <c r="A65" s="13" t="s">
        <v>48</v>
      </c>
      <c r="B65" s="13" t="s">
        <v>373</v>
      </c>
      <c r="C65" s="13">
        <v>4</v>
      </c>
      <c r="D65" s="13">
        <v>5</v>
      </c>
      <c r="E65" s="13" t="s">
        <v>362</v>
      </c>
    </row>
    <row r="66" spans="1:5" ht="14.25" customHeight="1" x14ac:dyDescent="0.3">
      <c r="A66" s="13" t="s">
        <v>70</v>
      </c>
      <c r="B66" s="13" t="s">
        <v>374</v>
      </c>
      <c r="C66" s="13">
        <v>4</v>
      </c>
      <c r="D66" s="13">
        <v>4</v>
      </c>
      <c r="E66" s="13" t="s">
        <v>362</v>
      </c>
    </row>
    <row r="67" spans="1:5" ht="14.25" customHeight="1" x14ac:dyDescent="0.3">
      <c r="A67" s="13" t="s">
        <v>83</v>
      </c>
      <c r="B67" s="13" t="s">
        <v>375</v>
      </c>
      <c r="C67" s="13">
        <v>4</v>
      </c>
      <c r="D67" s="13">
        <v>5</v>
      </c>
      <c r="E67" s="13" t="s">
        <v>362</v>
      </c>
    </row>
    <row r="68" spans="1:5" ht="14.25" customHeight="1" x14ac:dyDescent="0.3">
      <c r="A68" s="13" t="s">
        <v>99</v>
      </c>
      <c r="B68" s="13" t="s">
        <v>376</v>
      </c>
      <c r="C68" s="13">
        <v>4</v>
      </c>
      <c r="D68" s="13">
        <v>2</v>
      </c>
      <c r="E68" s="13" t="s">
        <v>362</v>
      </c>
    </row>
    <row r="69" spans="1:5" ht="14.25" customHeight="1" x14ac:dyDescent="0.3">
      <c r="A69" s="13" t="s">
        <v>120</v>
      </c>
      <c r="B69" s="13" t="s">
        <v>377</v>
      </c>
      <c r="C69" s="13">
        <v>4</v>
      </c>
      <c r="D69" s="13">
        <v>4</v>
      </c>
      <c r="E69" s="13" t="s">
        <v>362</v>
      </c>
    </row>
    <row r="70" spans="1:5" ht="14.25" customHeight="1" x14ac:dyDescent="0.3">
      <c r="A70" s="13" t="s">
        <v>138</v>
      </c>
      <c r="B70" s="13" t="s">
        <v>378</v>
      </c>
      <c r="C70" s="13">
        <v>4</v>
      </c>
      <c r="D70" s="13">
        <v>5</v>
      </c>
      <c r="E70" s="13" t="s">
        <v>362</v>
      </c>
    </row>
    <row r="71" spans="1:5" ht="14.25" customHeight="1" x14ac:dyDescent="0.3">
      <c r="A71" s="13" t="s">
        <v>379</v>
      </c>
      <c r="B71" s="13" t="s">
        <v>380</v>
      </c>
      <c r="C71" s="13">
        <v>4</v>
      </c>
      <c r="D71" s="13">
        <v>4</v>
      </c>
      <c r="E71" s="13" t="s">
        <v>362</v>
      </c>
    </row>
    <row r="72" spans="1:5" ht="14.25" customHeight="1" x14ac:dyDescent="0.3">
      <c r="A72" s="13" t="s">
        <v>381</v>
      </c>
      <c r="B72" s="13" t="s">
        <v>382</v>
      </c>
      <c r="C72" s="13">
        <v>4</v>
      </c>
      <c r="D72" s="13">
        <v>3</v>
      </c>
      <c r="E72" s="13" t="s">
        <v>362</v>
      </c>
    </row>
    <row r="73" spans="1:5" ht="14.25" customHeight="1" x14ac:dyDescent="0.3">
      <c r="A73" s="13" t="s">
        <v>47</v>
      </c>
      <c r="B73" s="13" t="s">
        <v>383</v>
      </c>
      <c r="C73" s="13">
        <v>5</v>
      </c>
      <c r="D73" s="13">
        <v>8</v>
      </c>
      <c r="E73" s="13" t="s">
        <v>362</v>
      </c>
    </row>
    <row r="74" spans="1:5" ht="14.25" customHeight="1" x14ac:dyDescent="0.3">
      <c r="A74" s="13" t="s">
        <v>77</v>
      </c>
      <c r="B74" s="13" t="s">
        <v>384</v>
      </c>
      <c r="C74" s="13">
        <v>5</v>
      </c>
      <c r="D74" s="13">
        <v>7</v>
      </c>
      <c r="E74" s="13" t="s">
        <v>362</v>
      </c>
    </row>
    <row r="75" spans="1:5" ht="14.25" customHeight="1" x14ac:dyDescent="0.3">
      <c r="A75" s="13" t="s">
        <v>46</v>
      </c>
      <c r="B75" s="13" t="s">
        <v>385</v>
      </c>
      <c r="C75" s="13">
        <v>5</v>
      </c>
      <c r="D75" s="13">
        <v>8</v>
      </c>
      <c r="E75" s="13" t="s">
        <v>362</v>
      </c>
    </row>
    <row r="76" spans="1:5" ht="14.25" customHeight="1" x14ac:dyDescent="0.3">
      <c r="A76" s="13" t="s">
        <v>58</v>
      </c>
      <c r="B76" s="13" t="s">
        <v>386</v>
      </c>
      <c r="C76" s="13">
        <v>5</v>
      </c>
      <c r="D76" s="13">
        <v>2</v>
      </c>
      <c r="E76" s="13" t="s">
        <v>362</v>
      </c>
    </row>
    <row r="77" spans="1:5" ht="14.25" customHeight="1" x14ac:dyDescent="0.3">
      <c r="A77" s="13" t="s">
        <v>387</v>
      </c>
      <c r="B77" s="13" t="s">
        <v>388</v>
      </c>
      <c r="C77" s="13">
        <v>5</v>
      </c>
      <c r="D77" s="13">
        <v>4</v>
      </c>
      <c r="E77" s="13" t="s">
        <v>362</v>
      </c>
    </row>
    <row r="78" spans="1:5" ht="14.25" customHeight="1" x14ac:dyDescent="0.3">
      <c r="A78" s="13" t="s">
        <v>79</v>
      </c>
      <c r="B78" s="13" t="s">
        <v>389</v>
      </c>
      <c r="C78" s="13">
        <v>5</v>
      </c>
      <c r="D78" s="13">
        <v>5</v>
      </c>
      <c r="E78" s="13" t="s">
        <v>362</v>
      </c>
    </row>
    <row r="79" spans="1:5" ht="14.25" customHeight="1" x14ac:dyDescent="0.3">
      <c r="A79" s="13" t="s">
        <v>82</v>
      </c>
      <c r="B79" s="13" t="s">
        <v>390</v>
      </c>
      <c r="C79" s="13">
        <v>7</v>
      </c>
      <c r="D79" s="13">
        <v>3</v>
      </c>
      <c r="E79" s="13" t="s">
        <v>362</v>
      </c>
    </row>
    <row r="80" spans="1:5" ht="14.25" customHeight="1" x14ac:dyDescent="0.3">
      <c r="A80" s="13" t="s">
        <v>98</v>
      </c>
      <c r="B80" s="13" t="s">
        <v>391</v>
      </c>
      <c r="C80" s="13">
        <v>7</v>
      </c>
      <c r="D80" s="13">
        <v>4</v>
      </c>
      <c r="E80" s="13" t="s">
        <v>362</v>
      </c>
    </row>
    <row r="81" spans="1:5" ht="14.25" customHeight="1" x14ac:dyDescent="0.3">
      <c r="A81" s="13" t="s">
        <v>108</v>
      </c>
      <c r="B81" s="13" t="s">
        <v>392</v>
      </c>
      <c r="C81" s="13">
        <v>7</v>
      </c>
      <c r="D81" s="13">
        <v>3</v>
      </c>
      <c r="E81" s="13" t="s">
        <v>362</v>
      </c>
    </row>
    <row r="82" spans="1:5" ht="14.25" customHeight="1" x14ac:dyDescent="0.3">
      <c r="A82" s="38" t="s">
        <v>137</v>
      </c>
      <c r="B82" s="13" t="s">
        <v>393</v>
      </c>
      <c r="C82" s="13">
        <v>7</v>
      </c>
      <c r="D82" s="13">
        <v>4</v>
      </c>
      <c r="E82" s="13" t="s">
        <v>362</v>
      </c>
    </row>
    <row r="83" spans="1:5" ht="14.25" customHeight="1" x14ac:dyDescent="0.3">
      <c r="A83" s="38" t="s">
        <v>88</v>
      </c>
      <c r="B83" s="13" t="s">
        <v>394</v>
      </c>
      <c r="C83" s="13">
        <v>7</v>
      </c>
      <c r="D83" s="13">
        <v>4</v>
      </c>
      <c r="E83" s="13" t="s">
        <v>362</v>
      </c>
    </row>
    <row r="84" spans="1:5" ht="14.25" customHeight="1" x14ac:dyDescent="0.3">
      <c r="A84" s="38" t="s">
        <v>395</v>
      </c>
      <c r="B84" s="13" t="s">
        <v>396</v>
      </c>
      <c r="C84" s="13">
        <v>7</v>
      </c>
      <c r="D84" s="13">
        <v>4</v>
      </c>
      <c r="E84" s="13" t="s">
        <v>362</v>
      </c>
    </row>
    <row r="85" spans="1:5" ht="14.25" customHeight="1" x14ac:dyDescent="0.3">
      <c r="A85" s="38" t="s">
        <v>127</v>
      </c>
      <c r="B85" s="13" t="s">
        <v>397</v>
      </c>
      <c r="C85" s="13">
        <v>7</v>
      </c>
      <c r="D85" s="13">
        <v>3</v>
      </c>
      <c r="E85" s="13" t="s">
        <v>362</v>
      </c>
    </row>
    <row r="86" spans="1:5" ht="14.25" customHeight="1" x14ac:dyDescent="0.3">
      <c r="A86" s="38" t="s">
        <v>45</v>
      </c>
      <c r="B86" s="13" t="s">
        <v>398</v>
      </c>
      <c r="C86" s="13">
        <v>8</v>
      </c>
      <c r="D86" s="13">
        <v>6</v>
      </c>
      <c r="E86" s="13" t="s">
        <v>362</v>
      </c>
    </row>
    <row r="87" spans="1:5" ht="14.25" customHeight="1" x14ac:dyDescent="0.3">
      <c r="A87" s="38" t="s">
        <v>101</v>
      </c>
      <c r="B87" s="13" t="s">
        <v>399</v>
      </c>
      <c r="C87" s="13">
        <v>8</v>
      </c>
      <c r="D87" s="13">
        <v>4</v>
      </c>
      <c r="E87" s="13" t="s">
        <v>362</v>
      </c>
    </row>
    <row r="88" spans="1:5" ht="14.25" customHeight="1" x14ac:dyDescent="0.3">
      <c r="A88" s="38" t="s">
        <v>68</v>
      </c>
      <c r="B88" s="13" t="s">
        <v>400</v>
      </c>
      <c r="C88" s="13">
        <v>8</v>
      </c>
      <c r="D88" s="13">
        <v>7</v>
      </c>
      <c r="E88" s="13" t="s">
        <v>362</v>
      </c>
    </row>
    <row r="89" spans="1:5" ht="14.25" customHeight="1" x14ac:dyDescent="0.3">
      <c r="A89" s="13" t="s">
        <v>401</v>
      </c>
      <c r="B89" s="13" t="s">
        <v>402</v>
      </c>
      <c r="C89" s="13">
        <v>8</v>
      </c>
      <c r="D89" s="13">
        <v>4</v>
      </c>
      <c r="E89" s="13" t="s">
        <v>362</v>
      </c>
    </row>
    <row r="90" spans="1:5" ht="14.25" customHeight="1" x14ac:dyDescent="0.3">
      <c r="A90" s="13" t="s">
        <v>92</v>
      </c>
      <c r="B90" s="13" t="s">
        <v>403</v>
      </c>
      <c r="C90" s="13">
        <v>8</v>
      </c>
      <c r="D90" s="13">
        <v>3</v>
      </c>
      <c r="E90" s="13" t="s">
        <v>362</v>
      </c>
    </row>
    <row r="91" spans="1:5" ht="14.25" customHeight="1" x14ac:dyDescent="0.3">
      <c r="A91" s="13" t="s">
        <v>78</v>
      </c>
      <c r="B91" s="13" t="s">
        <v>404</v>
      </c>
      <c r="C91" s="13">
        <v>9</v>
      </c>
      <c r="D91" s="13">
        <v>6</v>
      </c>
      <c r="E91" s="13" t="s">
        <v>362</v>
      </c>
    </row>
    <row r="92" spans="1:5" ht="14.25" customHeight="1" x14ac:dyDescent="0.3">
      <c r="A92" s="13" t="s">
        <v>106</v>
      </c>
      <c r="B92" s="13" t="s">
        <v>405</v>
      </c>
      <c r="C92" s="13">
        <v>9</v>
      </c>
      <c r="D92" s="13">
        <v>4</v>
      </c>
      <c r="E92" s="13" t="s">
        <v>362</v>
      </c>
    </row>
    <row r="93" spans="1:5" ht="14.25" customHeight="1" x14ac:dyDescent="0.3">
      <c r="A93" s="13" t="s">
        <v>115</v>
      </c>
      <c r="B93" s="13" t="s">
        <v>406</v>
      </c>
      <c r="C93" s="13">
        <v>9</v>
      </c>
      <c r="D93" s="13">
        <v>3</v>
      </c>
      <c r="E93" s="13" t="s">
        <v>362</v>
      </c>
    </row>
    <row r="94" spans="1:5" ht="14.25" customHeight="1" x14ac:dyDescent="0.3">
      <c r="A94" s="13" t="s">
        <v>407</v>
      </c>
      <c r="B94" s="13" t="s">
        <v>408</v>
      </c>
      <c r="C94" s="13">
        <v>9</v>
      </c>
      <c r="D94" s="13">
        <v>6</v>
      </c>
      <c r="E94" s="13" t="s">
        <v>362</v>
      </c>
    </row>
    <row r="95" spans="1:5" ht="14.25" customHeight="1" x14ac:dyDescent="0.3">
      <c r="A95" s="13" t="s">
        <v>409</v>
      </c>
      <c r="B95" s="13" t="s">
        <v>410</v>
      </c>
      <c r="C95" s="13">
        <v>9</v>
      </c>
      <c r="D95" s="13">
        <v>4</v>
      </c>
      <c r="E95" s="13" t="s">
        <v>362</v>
      </c>
    </row>
    <row r="96" spans="1:5" ht="14.25" customHeight="1" x14ac:dyDescent="0.3">
      <c r="A96" s="13" t="s">
        <v>125</v>
      </c>
      <c r="B96" s="13" t="s">
        <v>411</v>
      </c>
      <c r="C96" s="13">
        <v>9</v>
      </c>
      <c r="D96" s="13">
        <v>2</v>
      </c>
      <c r="E96" s="13" t="s">
        <v>362</v>
      </c>
    </row>
    <row r="97" spans="1:5" ht="14.25" customHeight="1" x14ac:dyDescent="0.3">
      <c r="A97" s="13" t="s">
        <v>59</v>
      </c>
      <c r="B97" s="13" t="s">
        <v>412</v>
      </c>
      <c r="C97" s="13">
        <v>10</v>
      </c>
      <c r="D97" s="13">
        <v>4</v>
      </c>
      <c r="E97" s="13" t="s">
        <v>362</v>
      </c>
    </row>
    <row r="98" spans="1:5" ht="14.25" customHeight="1" x14ac:dyDescent="0.3">
      <c r="A98" s="13" t="s">
        <v>87</v>
      </c>
      <c r="B98" s="13" t="s">
        <v>413</v>
      </c>
      <c r="C98" s="13">
        <v>10</v>
      </c>
      <c r="D98" s="13">
        <v>7</v>
      </c>
      <c r="E98" s="13" t="s">
        <v>362</v>
      </c>
    </row>
    <row r="99" spans="1:5" ht="14.25" customHeight="1" x14ac:dyDescent="0.3">
      <c r="A99" s="13" t="s">
        <v>414</v>
      </c>
      <c r="B99" s="13" t="s">
        <v>415</v>
      </c>
      <c r="C99" s="13">
        <v>10</v>
      </c>
      <c r="D99" s="13">
        <v>7</v>
      </c>
      <c r="E99" s="13" t="s">
        <v>362</v>
      </c>
    </row>
    <row r="100" spans="1:5" ht="14.25" customHeight="1" x14ac:dyDescent="0.3">
      <c r="A100" s="13" t="s">
        <v>99</v>
      </c>
      <c r="B100" s="13" t="s">
        <v>416</v>
      </c>
      <c r="C100" s="13">
        <v>10</v>
      </c>
      <c r="D100" s="13">
        <v>2</v>
      </c>
      <c r="E100" s="13" t="s">
        <v>362</v>
      </c>
    </row>
    <row r="101" spans="1:5" ht="14.25" customHeight="1" x14ac:dyDescent="0.3">
      <c r="A101" s="13" t="s">
        <v>417</v>
      </c>
      <c r="B101" s="13" t="s">
        <v>418</v>
      </c>
      <c r="C101" s="13">
        <v>10</v>
      </c>
      <c r="D101" s="13">
        <v>4</v>
      </c>
      <c r="E101" s="13" t="s">
        <v>362</v>
      </c>
    </row>
    <row r="102" spans="1:5" ht="14.25" customHeight="1" x14ac:dyDescent="0.3">
      <c r="A102" s="13" t="s">
        <v>126</v>
      </c>
      <c r="B102" s="13" t="s">
        <v>419</v>
      </c>
      <c r="C102" s="13">
        <v>10</v>
      </c>
      <c r="D102" s="13">
        <v>2</v>
      </c>
      <c r="E102" s="13" t="s">
        <v>362</v>
      </c>
    </row>
    <row r="103" spans="1:5" ht="14.25" customHeight="1" x14ac:dyDescent="0.3">
      <c r="A103" s="13" t="s">
        <v>319</v>
      </c>
      <c r="B103" s="13" t="s">
        <v>420</v>
      </c>
      <c r="C103" s="13">
        <v>1</v>
      </c>
      <c r="D103" s="13">
        <v>5</v>
      </c>
      <c r="E103" s="13" t="s">
        <v>321</v>
      </c>
    </row>
    <row r="104" spans="1:5" ht="14.25" customHeight="1" x14ac:dyDescent="0.3">
      <c r="A104" s="13" t="s">
        <v>322</v>
      </c>
      <c r="B104" s="13" t="s">
        <v>421</v>
      </c>
      <c r="C104" s="13">
        <v>1</v>
      </c>
      <c r="D104" s="13">
        <v>4</v>
      </c>
      <c r="E104" s="13" t="s">
        <v>321</v>
      </c>
    </row>
    <row r="105" spans="1:5" ht="14.25" customHeight="1" x14ac:dyDescent="0.3">
      <c r="A105" s="13" t="s">
        <v>324</v>
      </c>
      <c r="B105" s="13" t="s">
        <v>422</v>
      </c>
      <c r="C105" s="13">
        <v>1</v>
      </c>
      <c r="D105" s="13">
        <v>7</v>
      </c>
      <c r="E105" s="13" t="s">
        <v>321</v>
      </c>
    </row>
    <row r="106" spans="1:5" ht="14.25" customHeight="1" x14ac:dyDescent="0.3">
      <c r="A106" s="13" t="s">
        <v>423</v>
      </c>
      <c r="B106" s="13" t="s">
        <v>424</v>
      </c>
      <c r="C106" s="13">
        <v>1</v>
      </c>
      <c r="D106" s="13">
        <v>4</v>
      </c>
      <c r="E106" s="13" t="s">
        <v>321</v>
      </c>
    </row>
    <row r="107" spans="1:5" ht="14.25" customHeight="1" x14ac:dyDescent="0.3">
      <c r="A107" s="13" t="s">
        <v>326</v>
      </c>
      <c r="B107" s="13" t="s">
        <v>425</v>
      </c>
      <c r="C107" s="13">
        <v>1</v>
      </c>
      <c r="D107" s="13">
        <v>6</v>
      </c>
      <c r="E107" s="13" t="s">
        <v>321</v>
      </c>
    </row>
    <row r="108" spans="1:5" ht="14.25" customHeight="1" x14ac:dyDescent="0.3">
      <c r="A108" s="13" t="s">
        <v>426</v>
      </c>
      <c r="B108" s="13" t="s">
        <v>427</v>
      </c>
      <c r="C108" s="13">
        <v>1</v>
      </c>
      <c r="D108" s="13">
        <v>4</v>
      </c>
      <c r="E108" s="13" t="s">
        <v>321</v>
      </c>
    </row>
    <row r="109" spans="1:5" ht="14.25" customHeight="1" x14ac:dyDescent="0.3">
      <c r="A109" s="13" t="s">
        <v>332</v>
      </c>
      <c r="B109" s="13" t="s">
        <v>428</v>
      </c>
      <c r="C109" s="13">
        <v>1</v>
      </c>
      <c r="D109" s="13">
        <v>5</v>
      </c>
      <c r="E109" s="13" t="s">
        <v>321</v>
      </c>
    </row>
    <row r="110" spans="1:5" ht="14.25" customHeight="1" x14ac:dyDescent="0.3">
      <c r="A110" s="37" t="s">
        <v>345</v>
      </c>
      <c r="C110" s="13">
        <v>1</v>
      </c>
      <c r="D110" s="37">
        <v>1</v>
      </c>
      <c r="E110" s="13" t="s">
        <v>321</v>
      </c>
    </row>
    <row r="111" spans="1:5" ht="14.25" customHeight="1" x14ac:dyDescent="0.3">
      <c r="A111" s="37" t="s">
        <v>346</v>
      </c>
      <c r="C111" s="13">
        <v>1</v>
      </c>
      <c r="D111" s="37">
        <v>2</v>
      </c>
      <c r="E111" s="13" t="s">
        <v>321</v>
      </c>
    </row>
    <row r="112" spans="1:5" ht="14.25" customHeight="1" x14ac:dyDescent="0.3">
      <c r="A112" s="13" t="s">
        <v>336</v>
      </c>
      <c r="B112" s="13" t="s">
        <v>429</v>
      </c>
      <c r="C112" s="13">
        <v>2</v>
      </c>
      <c r="D112" s="13">
        <v>5</v>
      </c>
      <c r="E112" s="13" t="s">
        <v>321</v>
      </c>
    </row>
    <row r="113" spans="1:5" ht="14.25" customHeight="1" x14ac:dyDescent="0.3">
      <c r="A113" s="52" t="s">
        <v>512</v>
      </c>
      <c r="B113" s="13" t="s">
        <v>430</v>
      </c>
      <c r="C113" s="13">
        <v>2</v>
      </c>
      <c r="D113" s="13">
        <v>4</v>
      </c>
      <c r="E113" s="13" t="s">
        <v>321</v>
      </c>
    </row>
    <row r="114" spans="1:5" ht="14.25" customHeight="1" x14ac:dyDescent="0.3">
      <c r="A114" s="13" t="s">
        <v>339</v>
      </c>
      <c r="B114" s="13" t="s">
        <v>431</v>
      </c>
      <c r="C114" s="13">
        <v>2</v>
      </c>
      <c r="D114" s="13">
        <v>6</v>
      </c>
      <c r="E114" s="13" t="s">
        <v>321</v>
      </c>
    </row>
    <row r="115" spans="1:5" ht="14.25" customHeight="1" x14ac:dyDescent="0.3">
      <c r="A115" s="13" t="s">
        <v>432</v>
      </c>
      <c r="B115" s="13" t="s">
        <v>433</v>
      </c>
      <c r="C115" s="13">
        <v>2</v>
      </c>
      <c r="D115" s="13">
        <v>5</v>
      </c>
      <c r="E115" s="13" t="s">
        <v>321</v>
      </c>
    </row>
    <row r="116" spans="1:5" ht="14.25" customHeight="1" x14ac:dyDescent="0.3">
      <c r="A116" s="13" t="s">
        <v>111</v>
      </c>
      <c r="B116" s="13" t="s">
        <v>434</v>
      </c>
      <c r="C116" s="13">
        <v>2</v>
      </c>
      <c r="D116" s="13">
        <v>5</v>
      </c>
      <c r="E116" s="13" t="s">
        <v>321</v>
      </c>
    </row>
    <row r="117" spans="1:5" ht="14.25" customHeight="1" x14ac:dyDescent="0.3">
      <c r="A117" s="13" t="s">
        <v>435</v>
      </c>
      <c r="B117" s="13" t="s">
        <v>436</v>
      </c>
      <c r="C117" s="13">
        <v>2</v>
      </c>
      <c r="D117" s="13">
        <v>5</v>
      </c>
      <c r="E117" s="13" t="s">
        <v>321</v>
      </c>
    </row>
    <row r="118" spans="1:5" ht="14.25" customHeight="1" x14ac:dyDescent="0.3">
      <c r="A118" s="13" t="s">
        <v>437</v>
      </c>
      <c r="B118" s="13" t="s">
        <v>438</v>
      </c>
      <c r="C118" s="13">
        <v>2</v>
      </c>
      <c r="D118" s="13">
        <v>5</v>
      </c>
      <c r="E118" s="13" t="s">
        <v>321</v>
      </c>
    </row>
    <row r="119" spans="1:5" ht="14.25" customHeight="1" x14ac:dyDescent="0.3">
      <c r="A119" s="37" t="s">
        <v>345</v>
      </c>
      <c r="C119" s="13">
        <v>2</v>
      </c>
      <c r="D119" s="37">
        <v>1</v>
      </c>
      <c r="E119" s="13" t="s">
        <v>321</v>
      </c>
    </row>
    <row r="120" spans="1:5" ht="14.25" customHeight="1" x14ac:dyDescent="0.3">
      <c r="A120" s="37" t="s">
        <v>346</v>
      </c>
      <c r="C120" s="13">
        <v>2</v>
      </c>
      <c r="D120" s="37">
        <v>2</v>
      </c>
      <c r="E120" s="13" t="s">
        <v>321</v>
      </c>
    </row>
    <row r="121" spans="1:5" ht="14.25" customHeight="1" x14ac:dyDescent="0.3">
      <c r="A121" s="60" t="s">
        <v>605</v>
      </c>
      <c r="B121" s="60" t="s">
        <v>598</v>
      </c>
      <c r="C121" s="60">
        <v>3</v>
      </c>
      <c r="D121" s="60">
        <v>5</v>
      </c>
      <c r="E121" s="13" t="s">
        <v>321</v>
      </c>
    </row>
    <row r="122" spans="1:5" ht="14.25" customHeight="1" x14ac:dyDescent="0.3">
      <c r="A122" s="60" t="s">
        <v>606</v>
      </c>
      <c r="B122" s="60" t="s">
        <v>599</v>
      </c>
      <c r="C122" s="60">
        <v>3</v>
      </c>
      <c r="D122" s="60">
        <v>4</v>
      </c>
      <c r="E122" s="13" t="s">
        <v>321</v>
      </c>
    </row>
    <row r="123" spans="1:5" ht="14.25" customHeight="1" x14ac:dyDescent="0.3">
      <c r="A123" s="60" t="s">
        <v>607</v>
      </c>
      <c r="B123" s="60" t="s">
        <v>600</v>
      </c>
      <c r="C123" s="60">
        <v>3</v>
      </c>
      <c r="D123" s="60">
        <v>4</v>
      </c>
      <c r="E123" s="13" t="s">
        <v>321</v>
      </c>
    </row>
    <row r="124" spans="1:5" ht="14.25" customHeight="1" x14ac:dyDescent="0.3">
      <c r="A124" s="60" t="s">
        <v>608</v>
      </c>
      <c r="B124" s="60" t="s">
        <v>601</v>
      </c>
      <c r="C124" s="60">
        <v>3</v>
      </c>
      <c r="D124" s="60">
        <v>6</v>
      </c>
      <c r="E124" s="13" t="s">
        <v>321</v>
      </c>
    </row>
    <row r="125" spans="1:5" ht="14.25" customHeight="1" x14ac:dyDescent="0.3">
      <c r="A125" s="60" t="s">
        <v>609</v>
      </c>
      <c r="B125" s="60" t="s">
        <v>602</v>
      </c>
      <c r="C125" s="60">
        <v>3</v>
      </c>
      <c r="D125" s="60">
        <v>5</v>
      </c>
      <c r="E125" s="13" t="s">
        <v>321</v>
      </c>
    </row>
    <row r="126" spans="1:5" ht="14.25" customHeight="1" x14ac:dyDescent="0.3">
      <c r="A126" s="60" t="s">
        <v>610</v>
      </c>
      <c r="B126" s="60" t="s">
        <v>603</v>
      </c>
      <c r="C126" s="60">
        <v>3</v>
      </c>
      <c r="D126" s="60">
        <v>7</v>
      </c>
      <c r="E126" s="13" t="s">
        <v>321</v>
      </c>
    </row>
    <row r="127" spans="1:5" ht="14.25" customHeight="1" x14ac:dyDescent="0.3">
      <c r="A127" s="60" t="s">
        <v>611</v>
      </c>
      <c r="B127" s="60" t="s">
        <v>604</v>
      </c>
      <c r="C127" s="60">
        <v>3</v>
      </c>
      <c r="D127" s="60">
        <v>4</v>
      </c>
      <c r="E127" s="13" t="s">
        <v>321</v>
      </c>
    </row>
    <row r="128" spans="1:5" ht="14.25" customHeight="1" x14ac:dyDescent="0.3">
      <c r="A128" s="37" t="s">
        <v>612</v>
      </c>
      <c r="C128" s="60">
        <v>3</v>
      </c>
      <c r="D128" s="37">
        <v>1</v>
      </c>
      <c r="E128" s="13" t="s">
        <v>321</v>
      </c>
    </row>
    <row r="129" spans="1:5" ht="14.25" customHeight="1" x14ac:dyDescent="0.3">
      <c r="A129" s="37" t="s">
        <v>613</v>
      </c>
      <c r="C129" s="60">
        <v>3</v>
      </c>
      <c r="D129" s="37">
        <v>2</v>
      </c>
      <c r="E129" s="13" t="s">
        <v>321</v>
      </c>
    </row>
    <row r="130" spans="1:5" ht="14.25" customHeight="1" x14ac:dyDescent="0.3">
      <c r="A130" s="13" t="s">
        <v>102</v>
      </c>
      <c r="B130" s="13" t="s">
        <v>439</v>
      </c>
      <c r="C130" s="13">
        <v>3</v>
      </c>
      <c r="D130" s="13">
        <v>4</v>
      </c>
      <c r="E130" s="13" t="s">
        <v>362</v>
      </c>
    </row>
    <row r="131" spans="1:5" ht="14.25" customHeight="1" x14ac:dyDescent="0.3">
      <c r="A131" s="13" t="s">
        <v>440</v>
      </c>
      <c r="B131" s="13" t="s">
        <v>441</v>
      </c>
      <c r="C131" s="13">
        <v>3</v>
      </c>
      <c r="D131" s="13">
        <v>6</v>
      </c>
      <c r="E131" s="13" t="s">
        <v>362</v>
      </c>
    </row>
    <row r="132" spans="1:5" ht="14.25" customHeight="1" x14ac:dyDescent="0.3">
      <c r="A132" s="13" t="s">
        <v>442</v>
      </c>
      <c r="B132" s="13" t="s">
        <v>443</v>
      </c>
      <c r="C132" s="13">
        <v>3</v>
      </c>
      <c r="D132" s="13">
        <v>6</v>
      </c>
      <c r="E132" s="13" t="s">
        <v>362</v>
      </c>
    </row>
    <row r="133" spans="1:5" ht="14.25" customHeight="1" x14ac:dyDescent="0.3">
      <c r="A133" s="13" t="s">
        <v>444</v>
      </c>
      <c r="B133" s="13" t="s">
        <v>445</v>
      </c>
      <c r="C133" s="13">
        <v>3</v>
      </c>
      <c r="D133" s="13">
        <v>5</v>
      </c>
      <c r="E133" s="13" t="s">
        <v>362</v>
      </c>
    </row>
    <row r="134" spans="1:5" ht="14.25" customHeight="1" x14ac:dyDescent="0.3">
      <c r="A134" s="13" t="s">
        <v>446</v>
      </c>
      <c r="B134" s="13" t="s">
        <v>447</v>
      </c>
      <c r="C134" s="13">
        <v>3</v>
      </c>
      <c r="D134" s="13">
        <v>6</v>
      </c>
      <c r="E134" s="13" t="s">
        <v>362</v>
      </c>
    </row>
    <row r="135" spans="1:5" ht="14.25" customHeight="1" x14ac:dyDescent="0.3">
      <c r="A135" s="13" t="s">
        <v>99</v>
      </c>
      <c r="B135" s="13" t="s">
        <v>448</v>
      </c>
      <c r="C135" s="13">
        <v>3</v>
      </c>
      <c r="D135" s="13">
        <v>2</v>
      </c>
      <c r="E135" s="13" t="s">
        <v>362</v>
      </c>
    </row>
    <row r="136" spans="1:5" ht="14.25" customHeight="1" x14ac:dyDescent="0.3">
      <c r="A136" s="13" t="s">
        <v>369</v>
      </c>
      <c r="B136" s="13" t="s">
        <v>449</v>
      </c>
      <c r="C136" s="13">
        <v>3</v>
      </c>
      <c r="D136" s="13">
        <v>4</v>
      </c>
      <c r="E136" s="13" t="s">
        <v>362</v>
      </c>
    </row>
    <row r="137" spans="1:5" ht="14.25" customHeight="1" x14ac:dyDescent="0.3">
      <c r="A137" s="13" t="s">
        <v>94</v>
      </c>
      <c r="B137" s="13" t="s">
        <v>450</v>
      </c>
      <c r="C137" s="13">
        <v>3</v>
      </c>
      <c r="D137" s="13">
        <v>2</v>
      </c>
      <c r="E137" s="13" t="s">
        <v>362</v>
      </c>
    </row>
    <row r="138" spans="1:5" ht="14.25" customHeight="1" x14ac:dyDescent="0.3">
      <c r="A138" s="13" t="s">
        <v>451</v>
      </c>
      <c r="B138" s="13" t="s">
        <v>452</v>
      </c>
      <c r="C138" s="13">
        <v>4</v>
      </c>
      <c r="D138" s="13">
        <v>5</v>
      </c>
      <c r="E138" s="13" t="s">
        <v>362</v>
      </c>
    </row>
    <row r="139" spans="1:5" ht="14.25" customHeight="1" x14ac:dyDescent="0.3">
      <c r="A139" s="13" t="s">
        <v>453</v>
      </c>
      <c r="B139" s="13" t="s">
        <v>454</v>
      </c>
      <c r="C139" s="13">
        <v>4</v>
      </c>
      <c r="D139" s="13">
        <v>6</v>
      </c>
      <c r="E139" s="13" t="s">
        <v>362</v>
      </c>
    </row>
    <row r="140" spans="1:5" ht="14.25" customHeight="1" x14ac:dyDescent="0.3">
      <c r="A140" s="13" t="s">
        <v>455</v>
      </c>
      <c r="B140" s="13" t="s">
        <v>456</v>
      </c>
      <c r="C140" s="13">
        <v>4</v>
      </c>
      <c r="D140" s="13">
        <v>6</v>
      </c>
      <c r="E140" s="13" t="s">
        <v>362</v>
      </c>
    </row>
    <row r="141" spans="1:5" ht="14.25" customHeight="1" x14ac:dyDescent="0.3">
      <c r="A141" s="13" t="s">
        <v>457</v>
      </c>
      <c r="B141" s="13" t="s">
        <v>458</v>
      </c>
      <c r="C141" s="13">
        <v>4</v>
      </c>
      <c r="D141" s="13">
        <v>6</v>
      </c>
      <c r="E141" s="13" t="s">
        <v>362</v>
      </c>
    </row>
    <row r="142" spans="1:5" ht="14.25" customHeight="1" x14ac:dyDescent="0.3">
      <c r="A142" s="13" t="s">
        <v>459</v>
      </c>
      <c r="B142" s="13" t="s">
        <v>460</v>
      </c>
      <c r="C142" s="13">
        <v>4</v>
      </c>
      <c r="D142" s="13">
        <v>5</v>
      </c>
      <c r="E142" s="13" t="s">
        <v>362</v>
      </c>
    </row>
    <row r="143" spans="1:5" ht="14.25" customHeight="1" x14ac:dyDescent="0.3">
      <c r="A143" s="13" t="s">
        <v>379</v>
      </c>
      <c r="B143" s="13" t="s">
        <v>461</v>
      </c>
      <c r="C143" s="13">
        <v>4</v>
      </c>
      <c r="D143" s="13">
        <v>4</v>
      </c>
      <c r="E143" s="13" t="s">
        <v>362</v>
      </c>
    </row>
    <row r="144" spans="1:5" ht="14.25" customHeight="1" x14ac:dyDescent="0.3">
      <c r="A144" s="13" t="s">
        <v>381</v>
      </c>
      <c r="B144" s="13" t="s">
        <v>462</v>
      </c>
      <c r="C144" s="13">
        <v>4</v>
      </c>
      <c r="D144" s="13">
        <v>3</v>
      </c>
      <c r="E144" s="13" t="s">
        <v>362</v>
      </c>
    </row>
    <row r="145" spans="1:5" ht="14.25" customHeight="1" x14ac:dyDescent="0.3">
      <c r="A145" s="13" t="s">
        <v>75</v>
      </c>
      <c r="B145" s="13" t="s">
        <v>463</v>
      </c>
      <c r="C145" s="13">
        <v>5</v>
      </c>
      <c r="D145" s="13">
        <v>6</v>
      </c>
      <c r="E145" s="13" t="s">
        <v>362</v>
      </c>
    </row>
    <row r="146" spans="1:5" ht="14.25" customHeight="1" x14ac:dyDescent="0.3">
      <c r="A146" s="13" t="s">
        <v>464</v>
      </c>
      <c r="B146" s="13" t="s">
        <v>465</v>
      </c>
      <c r="C146" s="13">
        <v>5</v>
      </c>
      <c r="D146" s="13">
        <v>6</v>
      </c>
      <c r="E146" s="13" t="s">
        <v>362</v>
      </c>
    </row>
    <row r="147" spans="1:5" ht="14.25" customHeight="1" x14ac:dyDescent="0.3">
      <c r="A147" s="13" t="s">
        <v>466</v>
      </c>
      <c r="B147" s="13" t="s">
        <v>467</v>
      </c>
      <c r="C147" s="13">
        <v>5</v>
      </c>
      <c r="D147" s="13">
        <v>6</v>
      </c>
      <c r="E147" s="13" t="s">
        <v>362</v>
      </c>
    </row>
    <row r="148" spans="1:5" ht="14.25" customHeight="1" x14ac:dyDescent="0.3">
      <c r="A148" s="13" t="s">
        <v>468</v>
      </c>
      <c r="B148" s="13" t="s">
        <v>469</v>
      </c>
      <c r="C148" s="13">
        <v>5</v>
      </c>
      <c r="D148" s="13">
        <v>6</v>
      </c>
      <c r="E148" s="13" t="s">
        <v>362</v>
      </c>
    </row>
    <row r="149" spans="1:5" ht="14.25" customHeight="1" x14ac:dyDescent="0.3">
      <c r="A149" s="13" t="s">
        <v>58</v>
      </c>
      <c r="B149" s="13" t="s">
        <v>470</v>
      </c>
      <c r="C149" s="13">
        <v>5</v>
      </c>
      <c r="D149" s="13">
        <v>2</v>
      </c>
      <c r="E149" s="13" t="s">
        <v>362</v>
      </c>
    </row>
    <row r="150" spans="1:5" ht="14.25" customHeight="1" x14ac:dyDescent="0.3">
      <c r="A150" s="13" t="s">
        <v>387</v>
      </c>
      <c r="B150" s="13" t="s">
        <v>471</v>
      </c>
      <c r="C150" s="13">
        <v>5</v>
      </c>
      <c r="D150" s="13">
        <v>4</v>
      </c>
      <c r="E150" s="13" t="s">
        <v>362</v>
      </c>
    </row>
    <row r="151" spans="1:5" ht="14.25" customHeight="1" x14ac:dyDescent="0.3">
      <c r="A151" s="13" t="s">
        <v>72</v>
      </c>
      <c r="B151" s="13" t="s">
        <v>472</v>
      </c>
      <c r="C151" s="13">
        <v>5</v>
      </c>
      <c r="D151" s="13">
        <v>5</v>
      </c>
      <c r="E151" s="13" t="s">
        <v>362</v>
      </c>
    </row>
    <row r="152" spans="1:5" ht="14.25" customHeight="1" x14ac:dyDescent="0.3">
      <c r="A152" s="13" t="s">
        <v>473</v>
      </c>
      <c r="B152" s="13" t="s">
        <v>474</v>
      </c>
      <c r="C152" s="13">
        <v>7</v>
      </c>
      <c r="D152" s="13">
        <v>4</v>
      </c>
      <c r="E152" s="13" t="s">
        <v>362</v>
      </c>
    </row>
    <row r="153" spans="1:5" ht="14.25" customHeight="1" x14ac:dyDescent="0.3">
      <c r="A153" s="13" t="s">
        <v>129</v>
      </c>
      <c r="B153" s="13" t="s">
        <v>475</v>
      </c>
      <c r="C153" s="13">
        <v>7</v>
      </c>
      <c r="D153" s="13">
        <v>5</v>
      </c>
      <c r="E153" s="13" t="s">
        <v>362</v>
      </c>
    </row>
    <row r="154" spans="1:5" ht="15" customHeight="1" x14ac:dyDescent="0.3">
      <c r="A154" s="13" t="s">
        <v>15</v>
      </c>
      <c r="B154" s="13" t="s">
        <v>476</v>
      </c>
      <c r="C154" s="13">
        <v>7</v>
      </c>
      <c r="D154" s="13">
        <v>5</v>
      </c>
      <c r="E154" s="13" t="s">
        <v>362</v>
      </c>
    </row>
    <row r="155" spans="1:5" ht="15" customHeight="1" x14ac:dyDescent="0.3">
      <c r="A155" s="13" t="s">
        <v>477</v>
      </c>
      <c r="B155" s="13" t="s">
        <v>478</v>
      </c>
      <c r="C155" s="13">
        <v>7</v>
      </c>
      <c r="D155" s="13">
        <v>4</v>
      </c>
      <c r="E155" s="13" t="s">
        <v>362</v>
      </c>
    </row>
    <row r="156" spans="1:5" ht="15" customHeight="1" x14ac:dyDescent="0.3">
      <c r="A156" s="13" t="s">
        <v>395</v>
      </c>
      <c r="B156" s="13" t="s">
        <v>479</v>
      </c>
      <c r="C156" s="13">
        <v>7</v>
      </c>
      <c r="D156" s="13">
        <v>4</v>
      </c>
      <c r="E156" s="13" t="s">
        <v>362</v>
      </c>
    </row>
    <row r="157" spans="1:5" ht="15" customHeight="1" x14ac:dyDescent="0.3">
      <c r="A157" s="13" t="s">
        <v>122</v>
      </c>
      <c r="B157" s="13" t="s">
        <v>480</v>
      </c>
      <c r="C157" s="13">
        <v>7</v>
      </c>
      <c r="D157" s="13">
        <v>3</v>
      </c>
      <c r="E157" s="13" t="s">
        <v>362</v>
      </c>
    </row>
    <row r="158" spans="1:5" ht="15" customHeight="1" x14ac:dyDescent="0.3">
      <c r="A158" s="13" t="s">
        <v>53</v>
      </c>
      <c r="B158" s="13" t="s">
        <v>481</v>
      </c>
      <c r="C158" s="13">
        <v>8</v>
      </c>
      <c r="D158" s="13">
        <v>4</v>
      </c>
      <c r="E158" s="13" t="s">
        <v>362</v>
      </c>
    </row>
    <row r="159" spans="1:5" ht="15" customHeight="1" x14ac:dyDescent="0.3">
      <c r="A159" s="13" t="s">
        <v>65</v>
      </c>
      <c r="B159" s="13" t="s">
        <v>482</v>
      </c>
      <c r="C159" s="13">
        <v>8</v>
      </c>
      <c r="D159" s="13">
        <v>5</v>
      </c>
      <c r="E159" s="13" t="s">
        <v>362</v>
      </c>
    </row>
    <row r="160" spans="1:5" ht="15" customHeight="1" x14ac:dyDescent="0.3">
      <c r="A160" s="13" t="s">
        <v>16</v>
      </c>
      <c r="B160" s="13" t="s">
        <v>483</v>
      </c>
      <c r="C160" s="13">
        <v>8</v>
      </c>
      <c r="D160" s="13">
        <v>5</v>
      </c>
      <c r="E160" s="13" t="s">
        <v>362</v>
      </c>
    </row>
    <row r="161" spans="1:5" ht="15" customHeight="1" x14ac:dyDescent="0.3">
      <c r="A161" s="13" t="s">
        <v>130</v>
      </c>
      <c r="B161" s="13" t="s">
        <v>484</v>
      </c>
      <c r="C161" s="13">
        <v>8</v>
      </c>
      <c r="D161" s="13">
        <v>4</v>
      </c>
      <c r="E161" s="13" t="s">
        <v>362</v>
      </c>
    </row>
    <row r="162" spans="1:5" ht="15" customHeight="1" x14ac:dyDescent="0.3">
      <c r="A162" s="13" t="s">
        <v>401</v>
      </c>
      <c r="B162" s="13" t="s">
        <v>485</v>
      </c>
      <c r="C162" s="13">
        <v>8</v>
      </c>
      <c r="D162" s="13">
        <v>4</v>
      </c>
      <c r="E162" s="13" t="s">
        <v>362</v>
      </c>
    </row>
    <row r="163" spans="1:5" ht="15" customHeight="1" x14ac:dyDescent="0.3">
      <c r="A163" s="13" t="s">
        <v>103</v>
      </c>
      <c r="B163" s="13" t="s">
        <v>486</v>
      </c>
      <c r="C163" s="13">
        <v>8</v>
      </c>
      <c r="D163" s="13">
        <v>3</v>
      </c>
      <c r="E163" s="13" t="s">
        <v>362</v>
      </c>
    </row>
    <row r="164" spans="1:5" ht="15" customHeight="1" x14ac:dyDescent="0.3">
      <c r="A164" s="13" t="s">
        <v>487</v>
      </c>
      <c r="B164" s="13" t="s">
        <v>488</v>
      </c>
      <c r="C164" s="13">
        <v>9</v>
      </c>
      <c r="D164" s="13">
        <v>5</v>
      </c>
      <c r="E164" s="13" t="s">
        <v>362</v>
      </c>
    </row>
    <row r="165" spans="1:5" ht="15" customHeight="1" x14ac:dyDescent="0.3">
      <c r="A165" s="13" t="s">
        <v>489</v>
      </c>
      <c r="B165" s="13" t="s">
        <v>490</v>
      </c>
      <c r="C165" s="13">
        <v>9</v>
      </c>
      <c r="D165" s="13">
        <v>4</v>
      </c>
      <c r="E165" s="13" t="s">
        <v>362</v>
      </c>
    </row>
    <row r="166" spans="1:5" ht="15" customHeight="1" x14ac:dyDescent="0.3">
      <c r="A166" s="13" t="s">
        <v>491</v>
      </c>
      <c r="B166" s="13" t="s">
        <v>492</v>
      </c>
      <c r="C166" s="13">
        <v>9</v>
      </c>
      <c r="D166" s="13">
        <v>4</v>
      </c>
      <c r="E166" s="13" t="s">
        <v>362</v>
      </c>
    </row>
    <row r="167" spans="1:5" ht="15" customHeight="1" x14ac:dyDescent="0.3">
      <c r="A167" s="13" t="s">
        <v>493</v>
      </c>
      <c r="B167" s="13" t="s">
        <v>494</v>
      </c>
      <c r="C167" s="13">
        <v>9</v>
      </c>
      <c r="D167" s="13">
        <v>3</v>
      </c>
      <c r="E167" s="13" t="s">
        <v>362</v>
      </c>
    </row>
    <row r="168" spans="1:5" ht="15" customHeight="1" x14ac:dyDescent="0.3">
      <c r="A168" s="13" t="s">
        <v>495</v>
      </c>
      <c r="B168" s="13" t="s">
        <v>496</v>
      </c>
      <c r="C168" s="13">
        <v>9</v>
      </c>
      <c r="D168" s="13">
        <v>3</v>
      </c>
      <c r="E168" s="13" t="s">
        <v>362</v>
      </c>
    </row>
    <row r="169" spans="1:5" ht="15" customHeight="1" x14ac:dyDescent="0.3">
      <c r="A169" s="13" t="s">
        <v>409</v>
      </c>
      <c r="B169" s="13" t="s">
        <v>497</v>
      </c>
      <c r="C169" s="13">
        <v>9</v>
      </c>
      <c r="D169" s="13">
        <v>4</v>
      </c>
      <c r="E169" s="13" t="s">
        <v>362</v>
      </c>
    </row>
    <row r="170" spans="1:5" ht="15" customHeight="1" x14ac:dyDescent="0.3">
      <c r="A170" s="13" t="s">
        <v>125</v>
      </c>
      <c r="B170" s="13" t="s">
        <v>498</v>
      </c>
      <c r="C170" s="13">
        <v>9</v>
      </c>
      <c r="D170" s="13">
        <v>2</v>
      </c>
      <c r="E170" s="13" t="s">
        <v>362</v>
      </c>
    </row>
    <row r="171" spans="1:5" ht="15" customHeight="1" x14ac:dyDescent="0.3">
      <c r="A171" s="13" t="s">
        <v>499</v>
      </c>
      <c r="B171" s="13" t="s">
        <v>500</v>
      </c>
      <c r="C171" s="13">
        <v>10</v>
      </c>
      <c r="D171" s="13">
        <v>5</v>
      </c>
      <c r="E171" s="13" t="s">
        <v>362</v>
      </c>
    </row>
    <row r="172" spans="1:5" ht="15" customHeight="1" x14ac:dyDescent="0.3">
      <c r="A172" s="13" t="s">
        <v>501</v>
      </c>
      <c r="B172" s="13" t="s">
        <v>502</v>
      </c>
      <c r="C172" s="13">
        <v>10</v>
      </c>
      <c r="D172" s="13">
        <v>5</v>
      </c>
      <c r="E172" s="13" t="s">
        <v>362</v>
      </c>
    </row>
    <row r="173" spans="1:5" ht="15" customHeight="1" x14ac:dyDescent="0.3">
      <c r="A173" s="13" t="s">
        <v>503</v>
      </c>
      <c r="B173" s="13" t="s">
        <v>504</v>
      </c>
      <c r="C173" s="13">
        <v>10</v>
      </c>
      <c r="D173" s="13">
        <v>7</v>
      </c>
      <c r="E173" s="13" t="s">
        <v>362</v>
      </c>
    </row>
    <row r="174" spans="1:5" ht="15" customHeight="1" x14ac:dyDescent="0.3">
      <c r="A174" s="13" t="s">
        <v>505</v>
      </c>
      <c r="B174" s="13" t="s">
        <v>506</v>
      </c>
      <c r="C174" s="13">
        <v>10</v>
      </c>
      <c r="D174" s="13">
        <v>2</v>
      </c>
      <c r="E174" s="13" t="s">
        <v>362</v>
      </c>
    </row>
    <row r="175" spans="1:5" ht="15" customHeight="1" x14ac:dyDescent="0.3">
      <c r="A175" s="13" t="s">
        <v>417</v>
      </c>
      <c r="B175" s="13" t="s">
        <v>507</v>
      </c>
      <c r="C175" s="13">
        <v>10</v>
      </c>
      <c r="D175" s="13">
        <v>4</v>
      </c>
      <c r="E175" s="13" t="s">
        <v>362</v>
      </c>
    </row>
    <row r="176" spans="1:5" ht="15" customHeight="1" x14ac:dyDescent="0.3">
      <c r="A176" s="13" t="s">
        <v>126</v>
      </c>
      <c r="B176" s="13" t="s">
        <v>508</v>
      </c>
      <c r="C176" s="13">
        <v>10</v>
      </c>
      <c r="D176" s="13">
        <v>2</v>
      </c>
      <c r="E176" s="13" t="s">
        <v>362</v>
      </c>
    </row>
    <row r="177" spans="1:5" ht="15" customHeight="1" x14ac:dyDescent="0.3">
      <c r="A177" s="56" t="s">
        <v>559</v>
      </c>
      <c r="B177" s="13">
        <v>0</v>
      </c>
      <c r="C177" s="56">
        <v>0</v>
      </c>
      <c r="D177" s="56">
        <v>0</v>
      </c>
      <c r="E177" s="13"/>
    </row>
    <row r="178" spans="1:5" ht="15" customHeight="1" x14ac:dyDescent="0.3">
      <c r="A178" s="51" t="s">
        <v>511</v>
      </c>
      <c r="B178" s="13">
        <v>0</v>
      </c>
      <c r="C178" s="51">
        <v>0</v>
      </c>
      <c r="D178" s="51">
        <v>0</v>
      </c>
      <c r="E178" s="13"/>
    </row>
    <row r="179" spans="1:5" ht="15" customHeight="1" x14ac:dyDescent="0.3">
      <c r="A179" s="50" t="s">
        <v>509</v>
      </c>
      <c r="B179" s="13">
        <v>0</v>
      </c>
      <c r="C179" s="50">
        <v>0</v>
      </c>
      <c r="D179" s="50">
        <v>0</v>
      </c>
      <c r="E179" s="13"/>
    </row>
    <row r="180" spans="1:5" ht="15" customHeight="1" x14ac:dyDescent="0.3">
      <c r="A180" s="13" t="s">
        <v>17</v>
      </c>
      <c r="B180" s="13">
        <v>0</v>
      </c>
      <c r="C180" s="13">
        <v>0</v>
      </c>
      <c r="D180" s="13">
        <v>0</v>
      </c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36</vt:i4>
      </vt:variant>
      <vt:variant>
        <vt:lpstr>Rangos con nombre</vt:lpstr>
      </vt:variant>
      <vt:variant>
        <vt:i4>32</vt:i4>
      </vt:variant>
    </vt:vector>
  </HeadingPairs>
  <TitlesOfParts>
    <vt:vector size="68" baseType="lpstr">
      <vt:lpstr>Datos_Completos</vt:lpstr>
      <vt:lpstr>ALFARO LINARES SANDRA</vt:lpstr>
      <vt:lpstr>BAEZA FLORES MARIA DEL CARMEN</vt:lpstr>
      <vt:lpstr>CRUZ GARCIA MISAEL</vt:lpstr>
      <vt:lpstr>GARCIA TRINIDAD ENRIQUE</vt:lpstr>
      <vt:lpstr>GOMEZ GONZALEZ JORGE</vt:lpstr>
      <vt:lpstr>GONZALEZ GARCIA VERONICA</vt:lpstr>
      <vt:lpstr>IBARRA VAZQUEZ JESSICA DANIELA</vt:lpstr>
      <vt:lpstr>INFANTE DE LA FUENTE JUAN GABRI</vt:lpstr>
      <vt:lpstr>ISLAS GONZALEZ YUNUEN</vt:lpstr>
      <vt:lpstr>LANDIN HERREJON JOSE LUIS GUSTA</vt:lpstr>
      <vt:lpstr>LIMA ARRONA FERNANDO</vt:lpstr>
      <vt:lpstr>MALDONADO GUERRERO ALHAN GERARD</vt:lpstr>
      <vt:lpstr>MARTINEZ VEGA FERMIN</vt:lpstr>
      <vt:lpstr>MENDOZA CALVA HECTOR RAUL</vt:lpstr>
      <vt:lpstr>MONROY TREJO ALEJANDRO</vt:lpstr>
      <vt:lpstr>MURGUIA GONZALEZ CYNTHIA BEATRI</vt:lpstr>
      <vt:lpstr>OLMOS OLALDE VICTOR HUGO</vt:lpstr>
      <vt:lpstr>ORDOÑEZ MORALES LUIS MARTIN</vt:lpstr>
      <vt:lpstr>PEREZ SANCHEZ RAFAEL</vt:lpstr>
      <vt:lpstr>RAMOS GAMA JOSELYN KAREN</vt:lpstr>
      <vt:lpstr>RODRIGUEZ RIVERA NAYELI BERENIC</vt:lpstr>
      <vt:lpstr>RODRIGUEZ SANCHEZ LUIS FERNANDO</vt:lpstr>
      <vt:lpstr>ROJAS DIEGO RAUL</vt:lpstr>
      <vt:lpstr>ROSAS DUARTE ROSA RUTH</vt:lpstr>
      <vt:lpstr>SERRANO SILVA IVAN ENRIQUE</vt:lpstr>
      <vt:lpstr>TIRADOR GOMEZ DANIELA LIZETH</vt:lpstr>
      <vt:lpstr>TORRES HERNANDEZ LUIS ENRIQUE</vt:lpstr>
      <vt:lpstr>TORRES RODRIGUEZ KATHERINNE ARA</vt:lpstr>
      <vt:lpstr>VALADEZ VARGAS ALEJANDRO</vt:lpstr>
      <vt:lpstr>VARELA OLMOS VIOLETA</vt:lpstr>
      <vt:lpstr>VILLA CUETO MA. ISABEL</vt:lpstr>
      <vt:lpstr>ZAMACONA PRADO NAYELI</vt:lpstr>
      <vt:lpstr>z_1_PLANTILLA</vt:lpstr>
      <vt:lpstr>z_2_Maestros</vt:lpstr>
      <vt:lpstr>z_3_Materias</vt:lpstr>
      <vt:lpstr>'ALFARO LINARES SANDRA'!Área_de_impresión</vt:lpstr>
      <vt:lpstr>'BAEZA FLORES MARIA DEL CARMEN'!Área_de_impresión</vt:lpstr>
      <vt:lpstr>'CRUZ GARCIA MISAEL'!Área_de_impresión</vt:lpstr>
      <vt:lpstr>'GARCIA TRINIDAD ENRIQUE'!Área_de_impresión</vt:lpstr>
      <vt:lpstr>'GOMEZ GONZALEZ JORGE'!Área_de_impresión</vt:lpstr>
      <vt:lpstr>'GONZALEZ GARCIA VERONICA'!Área_de_impresión</vt:lpstr>
      <vt:lpstr>'IBARRA VAZQUEZ JESSICA DANIELA'!Área_de_impresión</vt:lpstr>
      <vt:lpstr>'INFANTE DE LA FUENTE JUAN GABRI'!Área_de_impresión</vt:lpstr>
      <vt:lpstr>'ISLAS GONZALEZ YUNUEN'!Área_de_impresión</vt:lpstr>
      <vt:lpstr>'LANDIN HERREJON JOSE LUIS GUSTA'!Área_de_impresión</vt:lpstr>
      <vt:lpstr>'LIMA ARRONA FERNANDO'!Área_de_impresión</vt:lpstr>
      <vt:lpstr>'MALDONADO GUERRERO ALHAN GERARD'!Área_de_impresión</vt:lpstr>
      <vt:lpstr>'MARTINEZ VEGA FERMIN'!Área_de_impresión</vt:lpstr>
      <vt:lpstr>'MENDOZA CALVA HECTOR RAUL'!Área_de_impresión</vt:lpstr>
      <vt:lpstr>'MONROY TREJO ALEJANDRO'!Área_de_impresión</vt:lpstr>
      <vt:lpstr>'MURGUIA GONZALEZ CYNTHIA BEATRI'!Área_de_impresión</vt:lpstr>
      <vt:lpstr>'OLMOS OLALDE VICTOR HUGO'!Área_de_impresión</vt:lpstr>
      <vt:lpstr>'ORDOÑEZ MORALES LUIS MARTIN'!Área_de_impresión</vt:lpstr>
      <vt:lpstr>'PEREZ SANCHEZ RAFAEL'!Área_de_impresión</vt:lpstr>
      <vt:lpstr>'RAMOS GAMA JOSELYN KAREN'!Área_de_impresión</vt:lpstr>
      <vt:lpstr>'RODRIGUEZ RIVERA NAYELI BERENIC'!Área_de_impresión</vt:lpstr>
      <vt:lpstr>'RODRIGUEZ SANCHEZ LUIS FERNANDO'!Área_de_impresión</vt:lpstr>
      <vt:lpstr>'ROJAS DIEGO RAUL'!Área_de_impresión</vt:lpstr>
      <vt:lpstr>'ROSAS DUARTE ROSA RUTH'!Área_de_impresión</vt:lpstr>
      <vt:lpstr>'SERRANO SILVA IVAN ENRIQUE'!Área_de_impresión</vt:lpstr>
      <vt:lpstr>'TIRADOR GOMEZ DANIELA LIZETH'!Área_de_impresión</vt:lpstr>
      <vt:lpstr>'TORRES HERNANDEZ LUIS ENRIQUE'!Área_de_impresión</vt:lpstr>
      <vt:lpstr>'TORRES RODRIGUEZ KATHERINNE ARA'!Área_de_impresión</vt:lpstr>
      <vt:lpstr>'VALADEZ VARGAS ALEJANDRO'!Área_de_impresión</vt:lpstr>
      <vt:lpstr>'VARELA OLMOS VIOLETA'!Área_de_impresión</vt:lpstr>
      <vt:lpstr>'VILLA CUETO MA. ISABEL'!Área_de_impresión</vt:lpstr>
      <vt:lpstr>'ZAMACONA PRADO NAYELI'!Área_de_impresión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Oliver Raúl Velazquez Torres</cp:lastModifiedBy>
  <cp:lastPrinted>2025-01-10T22:56:42Z</cp:lastPrinted>
  <dcterms:created xsi:type="dcterms:W3CDTF">2012-10-01T15:59:21Z</dcterms:created>
  <dcterms:modified xsi:type="dcterms:W3CDTF">2025-03-09T12:55:36Z</dcterms:modified>
</cp:coreProperties>
</file>