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Diseño, Redes E IA\2025-1\Cargas Horarias\Horarios 10122024 F\"/>
    </mc:Choice>
  </mc:AlternateContent>
  <xr:revisionPtr revIDLastSave="0" documentId="13_ncr:1_{CB4B5EFF-44EB-4A5D-8168-2D7D3EFCC6EE}" xr6:coauthVersionLast="47" xr6:coauthVersionMax="47" xr10:uidLastSave="{00000000-0000-0000-0000-000000000000}"/>
  <bookViews>
    <workbookView xWindow="9600" yWindow="0" windowWidth="9600" windowHeight="10200" firstSheet="11" activeTab="11" xr2:uid="{00000000-000D-0000-FFFF-FFFF00000000}"/>
  </bookViews>
  <sheets>
    <sheet name="CD201" sheetId="1" r:id="rId1"/>
    <sheet name="IRD201" sheetId="2" r:id="rId2"/>
    <sheet name="IRD202" sheetId="3" r:id="rId3"/>
    <sheet name="IRD501" sheetId="4" r:id="rId4"/>
    <sheet name="IRD502" sheetId="5" r:id="rId5"/>
    <sheet name="IRICE701" sheetId="6" r:id="rId6"/>
    <sheet name="IRICE801" sheetId="7" r:id="rId7"/>
    <sheet name="IRICE802" sheetId="8" r:id="rId8"/>
    <sheet name="DAD101" sheetId="35" r:id="rId9"/>
    <sheet name="DAD201" sheetId="9" r:id="rId10"/>
    <sheet name="DAD202" sheetId="10" r:id="rId11"/>
    <sheet name="DAD203" sheetId="11" r:id="rId12"/>
    <sheet name="DAD204" sheetId="12" r:id="rId13"/>
    <sheet name="DAD205" sheetId="13" r:id="rId14"/>
    <sheet name="DAD206" sheetId="14" r:id="rId15"/>
    <sheet name="DAD207" sheetId="15" r:id="rId16"/>
    <sheet name="DAD208" sheetId="16" r:id="rId17"/>
    <sheet name="DAD209" sheetId="17" r:id="rId18"/>
    <sheet name="DDA301" sheetId="18" r:id="rId19"/>
    <sheet name="DDA401" sheetId="19" r:id="rId20"/>
    <sheet name="DDA501" sheetId="20" r:id="rId21"/>
    <sheet name="DDA502" sheetId="21" r:id="rId22"/>
    <sheet name="DDA503" sheetId="22" r:id="rId23"/>
    <sheet name="DDA504" sheetId="23" r:id="rId24"/>
    <sheet name="DDA505" sheetId="24" r:id="rId25"/>
    <sheet name="LDDPA701" sheetId="25" r:id="rId26"/>
    <sheet name="LDDPA702" sheetId="26" r:id="rId27"/>
    <sheet name="LDDPA801" sheetId="27" r:id="rId28"/>
    <sheet name="LDDPA802" sheetId="28" r:id="rId29"/>
    <sheet name="LDDPA803" sheetId="29" r:id="rId30"/>
    <sheet name="LDDPAE804" sheetId="30" r:id="rId31"/>
    <sheet name="LDDPA901" sheetId="31" r:id="rId32"/>
    <sheet name="LDDPA1001" sheetId="32" r:id="rId33"/>
    <sheet name="Docentes" sheetId="33" r:id="rId34"/>
    <sheet name="Materias" sheetId="34" r:id="rId35"/>
  </sheets>
  <definedNames>
    <definedName name="_xlnm._FilterDatabase" localSheetId="33" hidden="1">Docentes!$A$1:$D$56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8" roundtripDataChecksum="PLmyyYPjFWRTcCAjyI+8lJ7YRLunDu6z6uPMATPIXKk="/>
    </ext>
  </extLst>
</workbook>
</file>

<file path=xl/calcChain.xml><?xml version="1.0" encoding="utf-8"?>
<calcChain xmlns="http://schemas.openxmlformats.org/spreadsheetml/2006/main">
  <c r="D37" i="24" l="1"/>
  <c r="D35" i="24"/>
  <c r="D40" i="10"/>
  <c r="D38" i="10"/>
  <c r="D40" i="9"/>
  <c r="D38" i="9"/>
  <c r="D38" i="35"/>
  <c r="D40" i="17"/>
  <c r="D38" i="17"/>
  <c r="D40" i="16"/>
  <c r="D38" i="16"/>
  <c r="D37" i="35"/>
  <c r="D36" i="35"/>
  <c r="D35" i="35"/>
  <c r="D34" i="35"/>
  <c r="D33" i="35"/>
  <c r="D32" i="35"/>
  <c r="D31" i="35"/>
  <c r="D30" i="35"/>
  <c r="D35" i="32"/>
  <c r="D34" i="32"/>
  <c r="D33" i="32"/>
  <c r="D32" i="32"/>
  <c r="D31" i="32"/>
  <c r="D30" i="32"/>
  <c r="D36" i="32" s="1"/>
  <c r="D35" i="31"/>
  <c r="D34" i="31"/>
  <c r="D33" i="31"/>
  <c r="D32" i="31"/>
  <c r="D31" i="31"/>
  <c r="D30" i="31"/>
  <c r="D36" i="31" s="1"/>
  <c r="D34" i="30"/>
  <c r="D33" i="30"/>
  <c r="D32" i="30"/>
  <c r="D31" i="30"/>
  <c r="D30" i="30"/>
  <c r="D35" i="30" s="1"/>
  <c r="D34" i="29"/>
  <c r="D33" i="29"/>
  <c r="D32" i="29"/>
  <c r="D31" i="29"/>
  <c r="D30" i="29"/>
  <c r="D35" i="29" s="1"/>
  <c r="D34" i="28"/>
  <c r="D35" i="28" s="1"/>
  <c r="D33" i="28"/>
  <c r="D32" i="28"/>
  <c r="D31" i="28"/>
  <c r="D30" i="28"/>
  <c r="D34" i="27"/>
  <c r="D33" i="27"/>
  <c r="D32" i="27"/>
  <c r="D31" i="27"/>
  <c r="D30" i="27"/>
  <c r="D35" i="27" s="1"/>
  <c r="D36" i="26"/>
  <c r="D35" i="26"/>
  <c r="D34" i="26"/>
  <c r="D33" i="26"/>
  <c r="D32" i="26"/>
  <c r="D31" i="26"/>
  <c r="D30" i="26"/>
  <c r="D37" i="26" s="1"/>
  <c r="D36" i="25"/>
  <c r="D35" i="25"/>
  <c r="D34" i="25"/>
  <c r="D33" i="25"/>
  <c r="D32" i="25"/>
  <c r="D31" i="25"/>
  <c r="D30" i="25"/>
  <c r="D37" i="25" s="1"/>
  <c r="D34" i="24"/>
  <c r="D33" i="24"/>
  <c r="D32" i="24"/>
  <c r="D31" i="24"/>
  <c r="D30" i="24"/>
  <c r="D35" i="23"/>
  <c r="D34" i="23"/>
  <c r="D33" i="23"/>
  <c r="D32" i="23"/>
  <c r="D31" i="23"/>
  <c r="D30" i="23"/>
  <c r="D35" i="22"/>
  <c r="D34" i="22"/>
  <c r="D33" i="22"/>
  <c r="D32" i="22"/>
  <c r="D31" i="22"/>
  <c r="D30" i="22"/>
  <c r="D36" i="22" s="1"/>
  <c r="D36" i="21"/>
  <c r="D35" i="21"/>
  <c r="D34" i="21"/>
  <c r="D33" i="21"/>
  <c r="D32" i="21"/>
  <c r="D31" i="21"/>
  <c r="D30" i="21"/>
  <c r="D35" i="20"/>
  <c r="D36" i="20" s="1"/>
  <c r="D34" i="20"/>
  <c r="D33" i="20"/>
  <c r="D32" i="20"/>
  <c r="D31" i="20"/>
  <c r="D30" i="20"/>
  <c r="D38" i="19"/>
  <c r="D37" i="19"/>
  <c r="D36" i="19"/>
  <c r="D35" i="19"/>
  <c r="D34" i="19"/>
  <c r="D33" i="19"/>
  <c r="D32" i="19"/>
  <c r="D31" i="19"/>
  <c r="D30" i="19"/>
  <c r="D39" i="19" s="1"/>
  <c r="D37" i="18"/>
  <c r="D36" i="18"/>
  <c r="D35" i="18"/>
  <c r="D34" i="18"/>
  <c r="D33" i="18"/>
  <c r="D32" i="18"/>
  <c r="D31" i="18"/>
  <c r="D30" i="18"/>
  <c r="D38" i="18" s="1"/>
  <c r="D37" i="17"/>
  <c r="D36" i="17"/>
  <c r="D35" i="17"/>
  <c r="D34" i="17"/>
  <c r="D33" i="17"/>
  <c r="D32" i="17"/>
  <c r="D31" i="17"/>
  <c r="D30" i="17"/>
  <c r="D37" i="16"/>
  <c r="D36" i="16"/>
  <c r="D35" i="16"/>
  <c r="D34" i="16"/>
  <c r="D33" i="16"/>
  <c r="D32" i="16"/>
  <c r="D31" i="16"/>
  <c r="D30" i="16"/>
  <c r="D38" i="15"/>
  <c r="D37" i="15"/>
  <c r="D36" i="15"/>
  <c r="D35" i="15"/>
  <c r="D34" i="15"/>
  <c r="D33" i="15"/>
  <c r="D32" i="15"/>
  <c r="D31" i="15"/>
  <c r="D30" i="15"/>
  <c r="D39" i="15" s="1"/>
  <c r="D38" i="14"/>
  <c r="D37" i="14"/>
  <c r="D36" i="14"/>
  <c r="D35" i="14"/>
  <c r="D34" i="14"/>
  <c r="D33" i="14"/>
  <c r="D32" i="14"/>
  <c r="D31" i="14"/>
  <c r="D30" i="14"/>
  <c r="D39" i="14" s="1"/>
  <c r="D38" i="13"/>
  <c r="D37" i="13"/>
  <c r="D36" i="13"/>
  <c r="D35" i="13"/>
  <c r="D34" i="13"/>
  <c r="D33" i="13"/>
  <c r="D32" i="13"/>
  <c r="D31" i="13"/>
  <c r="D30" i="13"/>
  <c r="D39" i="13" s="1"/>
  <c r="D38" i="12"/>
  <c r="D37" i="12"/>
  <c r="D36" i="12"/>
  <c r="D35" i="12"/>
  <c r="D34" i="12"/>
  <c r="D33" i="12"/>
  <c r="D32" i="12"/>
  <c r="D31" i="12"/>
  <c r="D30" i="12"/>
  <c r="D39" i="12" s="1"/>
  <c r="D38" i="11"/>
  <c r="D37" i="11"/>
  <c r="D36" i="11"/>
  <c r="D35" i="11"/>
  <c r="D34" i="11"/>
  <c r="D33" i="11"/>
  <c r="D32" i="11"/>
  <c r="D31" i="11"/>
  <c r="D30" i="11"/>
  <c r="D39" i="11" s="1"/>
  <c r="D37" i="10"/>
  <c r="D36" i="10"/>
  <c r="D35" i="10"/>
  <c r="D34" i="10"/>
  <c r="D33" i="10"/>
  <c r="D32" i="10"/>
  <c r="D31" i="10"/>
  <c r="D30" i="10"/>
  <c r="D37" i="9"/>
  <c r="D36" i="9"/>
  <c r="D35" i="9"/>
  <c r="D34" i="9"/>
  <c r="D33" i="9"/>
  <c r="D32" i="9"/>
  <c r="D31" i="9"/>
  <c r="D30" i="9"/>
  <c r="D35" i="8"/>
  <c r="D34" i="8"/>
  <c r="D33" i="8"/>
  <c r="D32" i="8"/>
  <c r="D31" i="8"/>
  <c r="D30" i="8"/>
  <c r="D36" i="8" s="1"/>
  <c r="D35" i="7"/>
  <c r="D34" i="7"/>
  <c r="D33" i="7"/>
  <c r="D32" i="7"/>
  <c r="D31" i="7"/>
  <c r="D30" i="7"/>
  <c r="D36" i="7" s="1"/>
  <c r="D35" i="6"/>
  <c r="D34" i="6"/>
  <c r="D33" i="6"/>
  <c r="D32" i="6"/>
  <c r="D31" i="6"/>
  <c r="D30" i="6"/>
  <c r="D36" i="6" s="1"/>
  <c r="D36" i="5"/>
  <c r="D35" i="5"/>
  <c r="D34" i="5"/>
  <c r="D33" i="5"/>
  <c r="D32" i="5"/>
  <c r="D31" i="5"/>
  <c r="D37" i="5" s="1"/>
  <c r="D30" i="5"/>
  <c r="D36" i="4"/>
  <c r="D35" i="4"/>
  <c r="D34" i="4"/>
  <c r="D33" i="4"/>
  <c r="D32" i="4"/>
  <c r="D31" i="4"/>
  <c r="D30" i="4"/>
  <c r="D37" i="4" s="1"/>
  <c r="D38" i="3"/>
  <c r="D37" i="3"/>
  <c r="D36" i="3"/>
  <c r="D35" i="3"/>
  <c r="D34" i="3"/>
  <c r="D33" i="3"/>
  <c r="D32" i="3"/>
  <c r="D31" i="3"/>
  <c r="D39" i="3" s="1"/>
  <c r="D30" i="3"/>
  <c r="D38" i="2"/>
  <c r="D37" i="2"/>
  <c r="D36" i="2"/>
  <c r="D35" i="2"/>
  <c r="D34" i="2"/>
  <c r="D33" i="2"/>
  <c r="D32" i="2"/>
  <c r="D31" i="2"/>
  <c r="D39" i="2" s="1"/>
  <c r="D30" i="2"/>
  <c r="D38" i="1"/>
  <c r="D37" i="1"/>
  <c r="D36" i="1"/>
  <c r="D35" i="1"/>
  <c r="D34" i="1"/>
  <c r="D33" i="1"/>
  <c r="D32" i="1"/>
  <c r="D31" i="1"/>
  <c r="D30" i="1"/>
  <c r="D39" i="1" s="1"/>
  <c r="D39" i="35" l="1"/>
  <c r="D36" i="23"/>
</calcChain>
</file>

<file path=xl/sharedStrings.xml><?xml version="1.0" encoding="utf-8"?>
<sst xmlns="http://schemas.openxmlformats.org/spreadsheetml/2006/main" count="3517" uniqueCount="663">
  <si>
    <t>}</t>
  </si>
  <si>
    <t>UNIVERSIDAD TECNOLÓGICA FIDEL VELÁZQUEZ</t>
  </si>
  <si>
    <t>División Académica de Telemática</t>
  </si>
  <si>
    <t>Carrera en Ciencia de Datos</t>
  </si>
  <si>
    <t>Horario de Grupo</t>
  </si>
  <si>
    <t>Cuatrimestre: Enero - Abril</t>
  </si>
  <si>
    <t>GRUPO:  CD201</t>
  </si>
  <si>
    <t>Período: 2025-1</t>
  </si>
  <si>
    <t>TUTOR: BASTIDA MIRANDA JULIO</t>
  </si>
  <si>
    <t>Hora</t>
  </si>
  <si>
    <t>Lunes</t>
  </si>
  <si>
    <t>Martes</t>
  </si>
  <si>
    <t>Miércoles</t>
  </si>
  <si>
    <t>Jueves</t>
  </si>
  <si>
    <t>Viernes</t>
  </si>
  <si>
    <t>Sábado</t>
  </si>
  <si>
    <t>07:00  08:00</t>
  </si>
  <si>
    <t>Habilidades Socioemocionales y Manejo de Conflictos.</t>
  </si>
  <si>
    <t>Programación.</t>
  </si>
  <si>
    <t>Actividades Culturales y Deportivas II</t>
  </si>
  <si>
    <t>08:00  09:00</t>
  </si>
  <si>
    <t>09:00  10:00</t>
  </si>
  <si>
    <t>Tutoría II.</t>
  </si>
  <si>
    <t>Cálculo Diferencial.</t>
  </si>
  <si>
    <t>10:00  11:00</t>
  </si>
  <si>
    <t>Inglés II</t>
  </si>
  <si>
    <t>11:00  12:00</t>
  </si>
  <si>
    <t>Matemáticas Discretas.</t>
  </si>
  <si>
    <t>Arquitectura de Computadoras y Servidores.</t>
  </si>
  <si>
    <t>12:00  13:00</t>
  </si>
  <si>
    <t>Probabilidad y Estadística.</t>
  </si>
  <si>
    <t>13:00  14:00</t>
  </si>
  <si>
    <t>14:00  15:00</t>
  </si>
  <si>
    <t>15:00  16:00</t>
  </si>
  <si>
    <t>16:00  17:00</t>
  </si>
  <si>
    <t>17:00  18:00</t>
  </si>
  <si>
    <t>18:00  19:00</t>
  </si>
  <si>
    <t>19:00  20:00</t>
  </si>
  <si>
    <t>20:00  21:00</t>
  </si>
  <si>
    <t>21:00  22:00</t>
  </si>
  <si>
    <t>Horario generado:</t>
  </si>
  <si>
    <t>asc Horarios.</t>
  </si>
  <si>
    <t>Asignatura</t>
  </si>
  <si>
    <t xml:space="preserve">Horas </t>
  </si>
  <si>
    <t>Profesores</t>
  </si>
  <si>
    <t>Inglés II.</t>
  </si>
  <si>
    <t>COORDINACIÓN DE INGLES</t>
  </si>
  <si>
    <t>OLMOS OLALDE VICTOR HUGO</t>
  </si>
  <si>
    <t>BASTIDA MIRANDA JULIO</t>
  </si>
  <si>
    <t xml:space="preserve">LIMA ARRONA FERNANDO </t>
  </si>
  <si>
    <t>RODRIGUEZ RIVERA NAYELI BERENICE</t>
  </si>
  <si>
    <t>VARELA OLMOS VIOLETA</t>
  </si>
  <si>
    <t>RODRIGUEZ SANCHEZ LUIS FERNANDO</t>
  </si>
  <si>
    <t>Actividades Culturales y Deportivas II.</t>
  </si>
  <si>
    <t>COORDINACIÓN DE DEPORTES</t>
  </si>
  <si>
    <t>Sesiones/Semana</t>
  </si>
  <si>
    <t xml:space="preserve">Director de la División Académica de Telemática
Nombre y Firma del Director (a) de la División Académica
</t>
  </si>
  <si>
    <t>Mtro. Oliver Raúl Velázquez Torres</t>
  </si>
  <si>
    <t>Carrera en Infraestructura de Redes Digitales</t>
  </si>
  <si>
    <t>GRUPO:  IRD201</t>
  </si>
  <si>
    <t>TUTOR: HIDALGO BAEZA MARIA DEL CARMEN</t>
  </si>
  <si>
    <t>Conmutación y Enrutamiento de Redes.</t>
  </si>
  <si>
    <t>Sistemas Operativos.</t>
  </si>
  <si>
    <t>Programación Estructurada.</t>
  </si>
  <si>
    <t>CASAS GOMEZ VICTOR MANUEL</t>
  </si>
  <si>
    <t>MONDRAGÓN DIEGO JOSÉ LUIS</t>
  </si>
  <si>
    <t>HERNANDEZ JIMENEZ ARTURO</t>
  </si>
  <si>
    <t>HIDALGO BAEZA MARIA DEL CARMEN</t>
  </si>
  <si>
    <t>GRUPO:  IRD202</t>
  </si>
  <si>
    <t>TUTOR: MONDRAGÓN DIEGO JOSÉ LUIS</t>
  </si>
  <si>
    <t>Carrera en Tecnologías de la Información área Infraestructura de Redes Digitales</t>
  </si>
  <si>
    <t>GRUPO:  IRD501</t>
  </si>
  <si>
    <t>TUTOR: CASAS GOMEZ VICTOR MANUEL</t>
  </si>
  <si>
    <t>Introducción a Big Data</t>
  </si>
  <si>
    <t>Administración de Redes de Datos</t>
  </si>
  <si>
    <t>Ciberseguridad</t>
  </si>
  <si>
    <t>Integradora II</t>
  </si>
  <si>
    <t>Administración de Servidores II</t>
  </si>
  <si>
    <t>Inglés V</t>
  </si>
  <si>
    <t>Expresión Oral y Escrita II</t>
  </si>
  <si>
    <t>GRUPO:  IRD502</t>
  </si>
  <si>
    <t>TUTOR: HERNANDEZ JIMENEZ ARTURO</t>
  </si>
  <si>
    <t>Carrera en Ingeniería en Redes Inteligentes y Ciberseguridad</t>
  </si>
  <si>
    <t>GRUPO:  IRICE701</t>
  </si>
  <si>
    <t>Administración del Tiempo*</t>
  </si>
  <si>
    <t>Administración Avanzada de Infraestructura Virtualizada</t>
  </si>
  <si>
    <r>
      <rPr>
        <sz val="14"/>
        <color theme="1"/>
        <rFont val="Arial"/>
        <family val="2"/>
      </rPr>
      <t xml:space="preserve">Administración Avanzada de Infraestructura Virtualizada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</si>
  <si>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Administración Avanzada de Infraestructura Virtualizada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</si>
  <si>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Infraestructura de Centros de Datos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</si>
  <si>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Infraestructura de Centros de Datos </t>
    </r>
    <r>
      <rPr>
        <b/>
        <sz val="14"/>
        <color theme="1"/>
        <rFont val="Arial"/>
        <family val="2"/>
      </rPr>
      <t>NP</t>
    </r>
  </si>
  <si>
    <t>Inglés VI</t>
  </si>
  <si>
    <r>
      <rPr>
        <sz val="14"/>
        <color theme="1"/>
        <rFont val="Arial"/>
        <family val="2"/>
      </rPr>
      <t xml:space="preserve">Administración Avanzada de Infraestructura Virtualizada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</si>
  <si>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Tecnologias para Manejo Masivo de Datos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</si>
  <si>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Tecnologias para Manejo Masivo de Datos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</si>
  <si>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Tecnologias para Manejo Masivo de Datos </t>
    </r>
    <r>
      <rPr>
        <b/>
        <sz val="14"/>
        <color theme="1"/>
        <rFont val="Arial"/>
        <family val="2"/>
      </rPr>
      <t>NP</t>
    </r>
  </si>
  <si>
    <t>Tecnologias para Manejo Masivo de Datos</t>
  </si>
  <si>
    <t>Infraestructura de Centros de Datos</t>
  </si>
  <si>
    <r>
      <rPr>
        <sz val="14"/>
        <color theme="1"/>
        <rFont val="Arial"/>
        <family val="2"/>
      </rPr>
      <t xml:space="preserve">Cálculo Integral </t>
    </r>
    <r>
      <rPr>
        <b/>
        <sz val="14"/>
        <color theme="1"/>
        <rFont val="Arial"/>
        <family val="2"/>
      </rPr>
      <t>NP</t>
    </r>
  </si>
  <si>
    <t>Cálculo Integral</t>
  </si>
  <si>
    <r>
      <rPr>
        <sz val="14"/>
        <color theme="1"/>
        <rFont val="Arial"/>
        <family val="2"/>
      </rPr>
      <t xml:space="preserve">Cálculo Integral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</si>
  <si>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Administración del Tiempo* </t>
    </r>
    <r>
      <rPr>
        <b/>
        <sz val="14"/>
        <color theme="1"/>
        <rFont val="Arial"/>
        <family val="2"/>
      </rPr>
      <t>NP</t>
    </r>
  </si>
  <si>
    <t>PEREZ SANCHEZ RAFAEL</t>
  </si>
  <si>
    <t>VALADEZ VARGAS ALEJANDRO</t>
  </si>
  <si>
    <t>ALFARO LINARES SANDRA</t>
  </si>
  <si>
    <t>TIRADOR GOMEZ DANIELA LIZETH</t>
  </si>
  <si>
    <t>GRUPO:  IRICE801</t>
  </si>
  <si>
    <t>Inglés VII</t>
  </si>
  <si>
    <t>Cómputo en la Nube</t>
  </si>
  <si>
    <t>Planeación y Organización del Trabajo_*</t>
  </si>
  <si>
    <r>
      <rPr>
        <sz val="14"/>
        <color theme="1"/>
        <rFont val="Arial"/>
        <family val="2"/>
      </rPr>
      <t xml:space="preserve">Gestión de La Seguridad Informática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</si>
  <si>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Gestión de La Seguridad Informática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</si>
  <si>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Gestión de La Seguridad Informática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</si>
  <si>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Planeación y Organización del Trabajo_* </t>
    </r>
    <r>
      <rPr>
        <b/>
        <sz val="14"/>
        <color theme="1"/>
        <rFont val="Arial"/>
        <family val="2"/>
      </rPr>
      <t>NP</t>
    </r>
  </si>
  <si>
    <t>Dirección de Proyectos I</t>
  </si>
  <si>
    <r>
      <rPr>
        <sz val="14"/>
        <color theme="1"/>
        <rFont val="Arial"/>
        <family val="2"/>
      </rPr>
      <t xml:space="preserve">Matemáticas para Ingeniería I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</si>
  <si>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Matemáticas para Ingeniería I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</si>
  <si>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Dirección de Proyectos I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</si>
  <si>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Cómputo en la Nube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</si>
  <si>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Dirección de Proyectos I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</si>
  <si>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Cómputo en la Nube </t>
    </r>
    <r>
      <rPr>
        <b/>
        <sz val="14"/>
        <color theme="1"/>
        <rFont val="Arial"/>
        <family val="2"/>
      </rPr>
      <t>NP</t>
    </r>
  </si>
  <si>
    <t>Gestión de La Seguridad Informática</t>
  </si>
  <si>
    <t>Matemáticas para Ingeniería I</t>
  </si>
  <si>
    <t>GARCIA TRINIDAD ENRIQUE</t>
  </si>
  <si>
    <t>GRUPO:  IRICE802</t>
  </si>
  <si>
    <r>
      <rPr>
        <sz val="14"/>
        <color theme="1"/>
        <rFont val="Arial"/>
        <family val="2"/>
      </rPr>
      <t xml:space="preserve">Planeación y Organización del Trabajo_*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</si>
  <si>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Cómputo en la Nube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</si>
  <si>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Cómputo en la Nube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</si>
  <si>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Matemáticas para Ingeniería I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</si>
  <si>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Matemáticas para Ingeniería I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</si>
  <si>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Gestión de La Seguridad Informática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</si>
  <si>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Gestión de La Seguridad Informática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</si>
  <si>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Dirección de Proyectos I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</si>
  <si>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Dirección de Proyectos I </t>
    </r>
    <r>
      <rPr>
        <b/>
        <sz val="14"/>
        <color theme="1"/>
        <rFont val="Arial"/>
        <family val="2"/>
      </rPr>
      <t>NP</t>
    </r>
  </si>
  <si>
    <t>INFANTE DE LA FUENTE JUAN GABRIEL</t>
  </si>
  <si>
    <t>Carrera en Diseño y Animación Digital</t>
  </si>
  <si>
    <t>GRUPO:  DAD201</t>
  </si>
  <si>
    <t>Geometría Descriptiva.</t>
  </si>
  <si>
    <t>Representación Geométrica.</t>
  </si>
  <si>
    <t>Ilustración Digital.</t>
  </si>
  <si>
    <t>Modelado Manual.</t>
  </si>
  <si>
    <t>Mercadotecnia.</t>
  </si>
  <si>
    <t>ROSAS DUARTE ROSA RUTH</t>
  </si>
  <si>
    <t>MARQUEZ SANCHEZ DANIEL MAURICIO</t>
  </si>
  <si>
    <t>MENDOZA CALVA HECTOR RAUL</t>
  </si>
  <si>
    <t>IBARRA VAZQUEZ JESSICA DANIELA</t>
  </si>
  <si>
    <t>GARCIA ROMERO LUIS ANGEL</t>
  </si>
  <si>
    <t>ZAMACONA PRADO NAYELI</t>
  </si>
  <si>
    <t>GRUPO:  DAD202</t>
  </si>
  <si>
    <t>BERNAL FUENTES SILVIA GUADALUPE</t>
  </si>
  <si>
    <t>GRUPO:  DAD203</t>
  </si>
  <si>
    <t>DESCHAMPS SOLORZANO JOSE ALEJANDRO</t>
  </si>
  <si>
    <t>MALDONADO GUERRERO ALHAN GERARD</t>
  </si>
  <si>
    <t>GRUPO:  DAD204</t>
  </si>
  <si>
    <t>ROJAS DIEGO RAUL</t>
  </si>
  <si>
    <t>SERRANO SILVA IVAN ENRIQUE</t>
  </si>
  <si>
    <t>GRUPO:  DAD205</t>
  </si>
  <si>
    <t>MARTINEZ VEGA FERMIN</t>
  </si>
  <si>
    <t>GONZALEZ GARCIA VERONICA</t>
  </si>
  <si>
    <t>TORRES HERNANDEZ LUIS ENRIQUE</t>
  </si>
  <si>
    <t>RAMOS GAMA JOSELYN KAREN</t>
  </si>
  <si>
    <t>GRUPO:  DAD206</t>
  </si>
  <si>
    <t>ESPINOSA JIMENEZ MARIA MARGARITA</t>
  </si>
  <si>
    <t>GOMEZ GONZALEZ JORGE</t>
  </si>
  <si>
    <t>LANDIN HERREJON JOSE LUIS GUSTAVO</t>
  </si>
  <si>
    <t>GRUPO:  DAD207</t>
  </si>
  <si>
    <t>GRUPO:  DAD208</t>
  </si>
  <si>
    <t>VILLA CUETO MA. ISABEL</t>
  </si>
  <si>
    <t>GRUPO:  DAD209</t>
  </si>
  <si>
    <t>ORDOÑEZ MORALES LUIS MARTIN</t>
  </si>
  <si>
    <t>MONROY TREJO ALEJANDRO</t>
  </si>
  <si>
    <t>Carrera en Diseño Digital Área Animación</t>
  </si>
  <si>
    <t>GRUPO:  DDA301</t>
  </si>
  <si>
    <t>Software CAD</t>
  </si>
  <si>
    <t>Formación Sociocultural III</t>
  </si>
  <si>
    <t>Mercadotecnia</t>
  </si>
  <si>
    <t>Ilustración II</t>
  </si>
  <si>
    <t>Proceso Administrativo</t>
  </si>
  <si>
    <t>Inglés III</t>
  </si>
  <si>
    <t>Fotografía Digital</t>
  </si>
  <si>
    <t>Costos</t>
  </si>
  <si>
    <t xml:space="preserve">Director de la División Académica de Diseño Digial Área Animación
Nombre y Firma del Director (a) de la División Académica
</t>
  </si>
  <si>
    <t>GRUPO:  DDA401</t>
  </si>
  <si>
    <t>Prototipos</t>
  </si>
  <si>
    <t>Proceso de Diseño</t>
  </si>
  <si>
    <t>Diseño Editorial Digital</t>
  </si>
  <si>
    <t>Inglés IV</t>
  </si>
  <si>
    <t>Guionismo y Storyboard</t>
  </si>
  <si>
    <t>Animación en 2D</t>
  </si>
  <si>
    <t>Física</t>
  </si>
  <si>
    <t>Integradora I</t>
  </si>
  <si>
    <t>BAEZA FLORES MARIA DEL CARMEN</t>
  </si>
  <si>
    <t>Formación Sociocultural IV</t>
  </si>
  <si>
    <t>GRUPO:  DDA501</t>
  </si>
  <si>
    <t>Animación en 3D</t>
  </si>
  <si>
    <t>Edición de Audio y Video</t>
  </si>
  <si>
    <t>Imagen Digital Animada</t>
  </si>
  <si>
    <t>TELLEZ VELAZQUEZ SERGIO</t>
  </si>
  <si>
    <t>GRUPO:  DDA502</t>
  </si>
  <si>
    <t>GRUPO:  DDA503</t>
  </si>
  <si>
    <t>ISLAS GONZALEZ YUNUEN</t>
  </si>
  <si>
    <t>GRUPO:  DDA504</t>
  </si>
  <si>
    <t>GRUPO:  DDA505</t>
  </si>
  <si>
    <t>OLMOS ZARIÑAN GRISELDA</t>
  </si>
  <si>
    <t>Carrera en Licenciatura en Diseño Digital y Producción Audiovisual</t>
  </si>
  <si>
    <t>GRUPO:  DDA701</t>
  </si>
  <si>
    <t>Mercadotecnia Digital</t>
  </si>
  <si>
    <t>Estética Digital</t>
  </si>
  <si>
    <t>Metodología de Diseño</t>
  </si>
  <si>
    <t>Estadística</t>
  </si>
  <si>
    <t>Semiótica y Hermenéutica</t>
  </si>
  <si>
    <t>Administración del Tiempo</t>
  </si>
  <si>
    <t>TORRES RODRIGUEZ KATHERINNE ARANZA</t>
  </si>
  <si>
    <t>GRUPO:  DDA702</t>
  </si>
  <si>
    <t>GRUPO:  LDDPA801</t>
  </si>
  <si>
    <t>Animación 2D Avanzada</t>
  </si>
  <si>
    <t>Planeación y Organización del Trabajo</t>
  </si>
  <si>
    <t>Diseño de Interfaz Web</t>
  </si>
  <si>
    <t>Imagen Corporativa</t>
  </si>
  <si>
    <t>MORENO LOAIZA CAROLINA</t>
  </si>
  <si>
    <t>MURGUIA GONZALEZ CYNTHIA BEATRIZ</t>
  </si>
  <si>
    <t>GRUPO:  LDDPA802</t>
  </si>
  <si>
    <t>GRUPO:  LDDPA803</t>
  </si>
  <si>
    <t>GRUPO:  LDDPAE804</t>
  </si>
  <si>
    <r>
      <rPr>
        <sz val="14"/>
        <color theme="1"/>
        <rFont val="Arial"/>
        <family val="2"/>
      </rPr>
      <t xml:space="preserve">Animación 2D Avanzada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</si>
  <si>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Animación 2D Avanzada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</si>
  <si>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Animación 2D Avanzada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</si>
  <si>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Imagen Corporativa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</si>
  <si>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Diseño de Interfaz Web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</si>
  <si>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Imagen Corporativa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</si>
  <si>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Imagen Corporativa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</si>
  <si>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Diseño de Interfaz Web </t>
    </r>
    <r>
      <rPr>
        <b/>
        <sz val="14"/>
        <color theme="1"/>
        <rFont val="Arial"/>
        <family val="2"/>
      </rPr>
      <t>NP</t>
    </r>
  </si>
  <si>
    <r>
      <rPr>
        <sz val="14"/>
        <color theme="1"/>
        <rFont val="Arial"/>
        <family val="2"/>
      </rPr>
      <t xml:space="preserve">Planeación y Organización del Trabajo </t>
    </r>
    <r>
      <rPr>
        <b/>
        <sz val="14"/>
        <color theme="1"/>
        <rFont val="Arial"/>
        <family val="2"/>
      </rPr>
      <t>NP</t>
    </r>
  </si>
  <si>
    <t>GRUPO:  LDDPA901</t>
  </si>
  <si>
    <t>Modelado y Espacios Virtuales</t>
  </si>
  <si>
    <t>Diseño Publicitario y Medios Digitales</t>
  </si>
  <si>
    <t>Proceso de Producción Audiovisual</t>
  </si>
  <si>
    <t>Inglés VIII</t>
  </si>
  <si>
    <t>Diseño Gráfico Experimental</t>
  </si>
  <si>
    <t>Dirección de Equipos de Alto Rendimiento</t>
  </si>
  <si>
    <t>GRUPO:  LDDPA1001</t>
  </si>
  <si>
    <t>Gestión de Proyectos</t>
  </si>
  <si>
    <t>Postproducción Audiovisual</t>
  </si>
  <si>
    <t>Inglés IX</t>
  </si>
  <si>
    <t>Animación de Personajes 3D</t>
  </si>
  <si>
    <t>Negociación Empresarial</t>
  </si>
  <si>
    <t>nombre</t>
  </si>
  <si>
    <t>cargo</t>
  </si>
  <si>
    <t>div</t>
  </si>
  <si>
    <t>PTC</t>
  </si>
  <si>
    <t>RT</t>
  </si>
  <si>
    <t>CARRASCO MONDRAGON ALDO JESUS</t>
  </si>
  <si>
    <t>PA</t>
  </si>
  <si>
    <t>ALVAREZ CANO SUSANO</t>
  </si>
  <si>
    <t>MT</t>
  </si>
  <si>
    <t>RT/TIC</t>
  </si>
  <si>
    <t>BLANCAS BASILIO CARLOS</t>
  </si>
  <si>
    <t>TIC / RT</t>
  </si>
  <si>
    <t>GARCIA GONZALEZ NORA</t>
  </si>
  <si>
    <t>GOMEZ GONZALEZ ARTURO</t>
  </si>
  <si>
    <t>DDA</t>
  </si>
  <si>
    <t>HERNANDEZ CRUZ MARIA GUADALUPE</t>
  </si>
  <si>
    <t>MARTINEZ MARTINEZ HECTOR ALONSO</t>
  </si>
  <si>
    <t>MORALES CANO CITLALLI</t>
  </si>
  <si>
    <t>TIC / RT / AD</t>
  </si>
  <si>
    <t>MORALES ORTIZ EMMANUEL RAUL</t>
  </si>
  <si>
    <t>MI / RT</t>
  </si>
  <si>
    <t>TIC / DDA</t>
  </si>
  <si>
    <t>TA / AD / RT</t>
  </si>
  <si>
    <t>RODRIGUEZ SANTOS VICTOR</t>
  </si>
  <si>
    <t>ROMERO ROJAS RUTH MARCELA</t>
  </si>
  <si>
    <t>TIC / TA / RT</t>
  </si>
  <si>
    <t>TG</t>
  </si>
  <si>
    <t>SANTIAGO SALAZAR FAUSTINO</t>
  </si>
  <si>
    <t>AD</t>
  </si>
  <si>
    <t>TINOCO VILLALBA MIREYA</t>
  </si>
  <si>
    <t>VAZQUEZ BARRERA MARIA DE LOS ANGELES</t>
  </si>
  <si>
    <t>AGUILAR DOMINGUEZ GABRIELA</t>
  </si>
  <si>
    <t>TERRAZAS RAMIREZ JORGE</t>
  </si>
  <si>
    <t>VARGAS MARTINEZ FABIOLA LILIANA</t>
  </si>
  <si>
    <t>TELLEZ AYALA MARTHA</t>
  </si>
  <si>
    <t>FUENTES FLORES BENICE</t>
  </si>
  <si>
    <t>LUVIANO ELIZALDE LIZBETH</t>
  </si>
  <si>
    <t>MARQUEZ GARCIA ELIAS ROBERTO</t>
  </si>
  <si>
    <t>CALLEJA AGUILAR MARIA ISABEL</t>
  </si>
  <si>
    <t>name</t>
  </si>
  <si>
    <t>cuatri</t>
  </si>
  <si>
    <t>hsm</t>
  </si>
  <si>
    <t>plan</t>
  </si>
  <si>
    <t>codigo</t>
  </si>
  <si>
    <t>Inglés I.</t>
  </si>
  <si>
    <t>Nuevo</t>
  </si>
  <si>
    <t>24CD001</t>
  </si>
  <si>
    <t>Desarrollo Humano y Valores.</t>
  </si>
  <si>
    <t>24CD002</t>
  </si>
  <si>
    <t>Fundamentos Matemáticos.</t>
  </si>
  <si>
    <t>24CD003</t>
  </si>
  <si>
    <t>Física.</t>
  </si>
  <si>
    <t>24CD004</t>
  </si>
  <si>
    <t>Fundamentos de Algoritmos.</t>
  </si>
  <si>
    <t>24CD005</t>
  </si>
  <si>
    <t>Introducción a la Ingeniería de Datos.</t>
  </si>
  <si>
    <t>24CD006</t>
  </si>
  <si>
    <t>Comunicación y Habilidades Digitales.</t>
  </si>
  <si>
    <t>24CD007</t>
  </si>
  <si>
    <t>Tutoría I.</t>
  </si>
  <si>
    <t>Actividades Culturales y Deportivas I.</t>
  </si>
  <si>
    <t>24CD008</t>
  </si>
  <si>
    <t>24CD009</t>
  </si>
  <si>
    <t>24CD010</t>
  </si>
  <si>
    <t>24CD011</t>
  </si>
  <si>
    <t>24CD012</t>
  </si>
  <si>
    <t>24CD013</t>
  </si>
  <si>
    <t>24CD014</t>
  </si>
  <si>
    <t>24DAD001</t>
  </si>
  <si>
    <t>24DAD002</t>
  </si>
  <si>
    <t>24DAD003</t>
  </si>
  <si>
    <t>Fundamentos de Diseño y del Lenguaje Visual.</t>
  </si>
  <si>
    <t>24DAD004</t>
  </si>
  <si>
    <t>Representación Visual.</t>
  </si>
  <si>
    <t>24DAD005</t>
  </si>
  <si>
    <t>Comunicación Gráfica.</t>
  </si>
  <si>
    <t>24DAD006</t>
  </si>
  <si>
    <t>24DAD007</t>
  </si>
  <si>
    <t>24DAD008</t>
  </si>
  <si>
    <t>24DAD009</t>
  </si>
  <si>
    <t>24DAD010</t>
  </si>
  <si>
    <t>24DAD011</t>
  </si>
  <si>
    <t>24DAD012</t>
  </si>
  <si>
    <t>24DAD013</t>
  </si>
  <si>
    <t>24DAD014</t>
  </si>
  <si>
    <t>Anterior</t>
  </si>
  <si>
    <t>18DDA017</t>
  </si>
  <si>
    <t>18DDA018</t>
  </si>
  <si>
    <t>18DDA019</t>
  </si>
  <si>
    <t>18DDA020</t>
  </si>
  <si>
    <t>18DDA021</t>
  </si>
  <si>
    <t>18DDA022</t>
  </si>
  <si>
    <t>18DDA023</t>
  </si>
  <si>
    <t>18DDA024</t>
  </si>
  <si>
    <t>18DDA025</t>
  </si>
  <si>
    <t>18DDA026</t>
  </si>
  <si>
    <t>18DDA027</t>
  </si>
  <si>
    <t>18DDA028</t>
  </si>
  <si>
    <t>18DDA029</t>
  </si>
  <si>
    <t>18DDA030</t>
  </si>
  <si>
    <t>18DDA031</t>
  </si>
  <si>
    <t>18DDA032</t>
  </si>
  <si>
    <t>18DDA033</t>
  </si>
  <si>
    <t>18DDA034</t>
  </si>
  <si>
    <t>18DDA035</t>
  </si>
  <si>
    <t>18DDA036</t>
  </si>
  <si>
    <t>18DDA037</t>
  </si>
  <si>
    <t>18DDA038</t>
  </si>
  <si>
    <t>18DDA039</t>
  </si>
  <si>
    <t>20LDDPA001</t>
  </si>
  <si>
    <t>20LDDPA002</t>
  </si>
  <si>
    <t>20LDDPA003</t>
  </si>
  <si>
    <t>20LDDPA004</t>
  </si>
  <si>
    <t>20LDDPA005</t>
  </si>
  <si>
    <t>20LDDPA006</t>
  </si>
  <si>
    <t>20LDDPA007</t>
  </si>
  <si>
    <t>20LDDPA008</t>
  </si>
  <si>
    <t>20LDDPA009</t>
  </si>
  <si>
    <t>20LDDPA010</t>
  </si>
  <si>
    <t>20LDDPA011</t>
  </si>
  <si>
    <t>20LDDPA012</t>
  </si>
  <si>
    <t>20LDDPA013</t>
  </si>
  <si>
    <t>20LDDPA014</t>
  </si>
  <si>
    <t>20LDDPA015</t>
  </si>
  <si>
    <t>20LDDPA016</t>
  </si>
  <si>
    <t>20LDDPA017</t>
  </si>
  <si>
    <t>20LDDPA018</t>
  </si>
  <si>
    <t>20LDDPA019</t>
  </si>
  <si>
    <t>20LDDPA020</t>
  </si>
  <si>
    <t>20LDDPA021</t>
  </si>
  <si>
    <t>20LDDPA022</t>
  </si>
  <si>
    <t>20LDDPA023</t>
  </si>
  <si>
    <t>20LDDPA024</t>
  </si>
  <si>
    <t>24IRD001</t>
  </si>
  <si>
    <t>24IRD002</t>
  </si>
  <si>
    <t>24IRD003</t>
  </si>
  <si>
    <t>Fundamentos de Redes.</t>
  </si>
  <si>
    <t>24IRD004</t>
  </si>
  <si>
    <t>24IRD005</t>
  </si>
  <si>
    <t>Fundamentos de Programación.</t>
  </si>
  <si>
    <t>24IRD006</t>
  </si>
  <si>
    <t>24IRD007</t>
  </si>
  <si>
    <t>24IRD008</t>
  </si>
  <si>
    <t>24IRD009</t>
  </si>
  <si>
    <t>24IRD010</t>
  </si>
  <si>
    <t>24IRD011</t>
  </si>
  <si>
    <t>24IRD012</t>
  </si>
  <si>
    <t>24IRD013</t>
  </si>
  <si>
    <t>24IRD014</t>
  </si>
  <si>
    <t>Cálculo Diferencial</t>
  </si>
  <si>
    <t>18IRD017</t>
  </si>
  <si>
    <t>Conmutación de Redes de Datos</t>
  </si>
  <si>
    <t>18IRD018</t>
  </si>
  <si>
    <t>Infraestructura de Redes de Datos</t>
  </si>
  <si>
    <t>18IRD019</t>
  </si>
  <si>
    <t>Sistemas Operativos</t>
  </si>
  <si>
    <t>18IRD020</t>
  </si>
  <si>
    <t>Aplicaciones Web</t>
  </si>
  <si>
    <t>18IRD021</t>
  </si>
  <si>
    <t>18IRD022</t>
  </si>
  <si>
    <t>18IRD023</t>
  </si>
  <si>
    <t>18IRD024</t>
  </si>
  <si>
    <t>Probabilidad y Estadística</t>
  </si>
  <si>
    <t>18IRD025</t>
  </si>
  <si>
    <t>Electrónica para IDC</t>
  </si>
  <si>
    <t>18IRD026</t>
  </si>
  <si>
    <t>Conexión de Redes Wan</t>
  </si>
  <si>
    <t>18IRD027</t>
  </si>
  <si>
    <t>Administración de Servidores I</t>
  </si>
  <si>
    <t>18IRD028</t>
  </si>
  <si>
    <t>Programación de Redes</t>
  </si>
  <si>
    <t>18IRD029</t>
  </si>
  <si>
    <t>18IRD030</t>
  </si>
  <si>
    <t>18IRD031</t>
  </si>
  <si>
    <t>18IRD032</t>
  </si>
  <si>
    <t>18IRD033</t>
  </si>
  <si>
    <t>18IRD034</t>
  </si>
  <si>
    <t>18IRD035</t>
  </si>
  <si>
    <t>18IRD036</t>
  </si>
  <si>
    <t>18IRD037</t>
  </si>
  <si>
    <t>18IRD038</t>
  </si>
  <si>
    <t>20IRIC001</t>
  </si>
  <si>
    <t>20IRIC002</t>
  </si>
  <si>
    <t>20IRIC003</t>
  </si>
  <si>
    <t>20IRIC004</t>
  </si>
  <si>
    <t>20IRIC005</t>
  </si>
  <si>
    <t>20IRIC006</t>
  </si>
  <si>
    <t>20IRIC007</t>
  </si>
  <si>
    <t>20IRIC008</t>
  </si>
  <si>
    <t>20IRIC009</t>
  </si>
  <si>
    <t>20IRIC010</t>
  </si>
  <si>
    <t>20IRIC011</t>
  </si>
  <si>
    <t>20IRIC012</t>
  </si>
  <si>
    <t>Hacking Ético</t>
  </si>
  <si>
    <t>20IRIC013</t>
  </si>
  <si>
    <t>Automatización de Infraestructura Digital I</t>
  </si>
  <si>
    <t>20IRIC014</t>
  </si>
  <si>
    <t>Dirección de Proyectos II</t>
  </si>
  <si>
    <t>20IRIC015</t>
  </si>
  <si>
    <t>Sistemas de Calidad para TI</t>
  </si>
  <si>
    <t>20IRIC016</t>
  </si>
  <si>
    <t>Optativa: Inteligencia de Negocios</t>
  </si>
  <si>
    <t>20IRIC017</t>
  </si>
  <si>
    <t>20IRIC018</t>
  </si>
  <si>
    <t>20IRIC019</t>
  </si>
  <si>
    <t>Informática Forense</t>
  </si>
  <si>
    <t>20IRIC020</t>
  </si>
  <si>
    <t>Automatización de Infraestructura Digital II</t>
  </si>
  <si>
    <t>20IRIC021</t>
  </si>
  <si>
    <t>Administración de Redes Empresariales</t>
  </si>
  <si>
    <t>20IRIC022</t>
  </si>
  <si>
    <t>Integradora</t>
  </si>
  <si>
    <t>20IRIC023</t>
  </si>
  <si>
    <t>20IRIC024</t>
  </si>
  <si>
    <t>20IRIC025</t>
  </si>
  <si>
    <r>
      <t xml:space="preserve">Inglés VI </t>
    </r>
    <r>
      <rPr>
        <b/>
        <sz val="14"/>
        <color theme="1"/>
        <rFont val="Arial"/>
        <family val="2"/>
      </rPr>
      <t>NP</t>
    </r>
  </si>
  <si>
    <r>
      <t xml:space="preserve">Inglés VII </t>
    </r>
    <r>
      <rPr>
        <b/>
        <sz val="14"/>
        <color theme="1"/>
        <rFont val="Arial"/>
        <family val="2"/>
      </rPr>
      <t>NP</t>
    </r>
  </si>
  <si>
    <t>TUTOR: GARCIA ROMERO LUIS ANGEL</t>
  </si>
  <si>
    <t>TUTOR: MARQUEZ SANCHEZ DANIEL MAURICIO</t>
  </si>
  <si>
    <t>TUTOR: ESPINOSA JIMENEZ MARIA MARGARITA</t>
  </si>
  <si>
    <t>TUTOR: OLMOS ZARIÑAN GRISELDA</t>
  </si>
  <si>
    <t>TUTOR: MORENO LOAIZA CAROLINA</t>
  </si>
  <si>
    <t>TUTOR: DESCHAMPS SOLORZANO JOSÉ ALEJANDRO</t>
  </si>
  <si>
    <t>DESCHAMPS SOLORZANO JOSÉ ALEJANDRO</t>
  </si>
  <si>
    <t>TUTOR: DESCHAMPS SOLORZANO JOSE ALEJANDRO</t>
  </si>
  <si>
    <t>TUTOR: ROJAS DIEGO RAUL</t>
  </si>
  <si>
    <t>TUTOR: TORRES HERNANDEZ LUIS ENRIQUE</t>
  </si>
  <si>
    <t>TUTOR: RODRIGUEZ RIVERA NAYELI BERENICE</t>
  </si>
  <si>
    <t>TUTOR: GONZALEZ GARCIA VERONICA</t>
  </si>
  <si>
    <t>TUTOR: TELLEZ VELAZQUEZ SERGIO</t>
  </si>
  <si>
    <t>TUTOR: ZAMACONA PRADO NAYELI</t>
  </si>
  <si>
    <t>TUTOR: ISLAS GONZALEZ YUNUEN</t>
  </si>
  <si>
    <t>TUTOR: LANDIN HERREJON JOSE LUIS GUSTAVO</t>
  </si>
  <si>
    <r>
      <t xml:space="preserve">Programación. - </t>
    </r>
    <r>
      <rPr>
        <b/>
        <sz val="14"/>
        <color theme="1"/>
        <rFont val="Arial"/>
        <family val="2"/>
      </rPr>
      <t>M108</t>
    </r>
  </si>
  <si>
    <r>
      <t xml:space="preserve">Probabilidad y Estadística. - </t>
    </r>
    <r>
      <rPr>
        <b/>
        <sz val="14"/>
        <color theme="1"/>
        <rFont val="Arial"/>
        <family val="2"/>
      </rPr>
      <t>M108</t>
    </r>
  </si>
  <si>
    <r>
      <t xml:space="preserve">Probabilidad y Estadística. - </t>
    </r>
    <r>
      <rPr>
        <b/>
        <sz val="14"/>
        <color theme="1"/>
        <rFont val="Arial"/>
        <family val="2"/>
      </rPr>
      <t>M101</t>
    </r>
  </si>
  <si>
    <r>
      <t xml:space="preserve">Conmutación y Enrutamiento de Redes. - </t>
    </r>
    <r>
      <rPr>
        <b/>
        <sz val="14"/>
        <color theme="1"/>
        <rFont val="Arial"/>
        <family val="2"/>
      </rPr>
      <t>M106</t>
    </r>
  </si>
  <si>
    <r>
      <t xml:space="preserve">Sistemas Operativos. - </t>
    </r>
    <r>
      <rPr>
        <b/>
        <sz val="14"/>
        <color theme="1"/>
        <rFont val="Arial"/>
        <family val="2"/>
      </rPr>
      <t>M106</t>
    </r>
  </si>
  <si>
    <r>
      <t xml:space="preserve">Habilidades Socioemocionales y Manejo de Conflictos. - </t>
    </r>
    <r>
      <rPr>
        <b/>
        <sz val="14"/>
        <color theme="1"/>
        <rFont val="Arial"/>
        <family val="2"/>
      </rPr>
      <t>M101</t>
    </r>
  </si>
  <si>
    <r>
      <t xml:space="preserve">Cálculo Diferencial. - </t>
    </r>
    <r>
      <rPr>
        <b/>
        <sz val="14"/>
        <color theme="1"/>
        <rFont val="Arial"/>
        <family val="2"/>
      </rPr>
      <t>M101</t>
    </r>
  </si>
  <si>
    <r>
      <t xml:space="preserve">Programación Estructurada. - </t>
    </r>
    <r>
      <rPr>
        <b/>
        <sz val="14"/>
        <color theme="1"/>
        <rFont val="Arial"/>
        <family val="2"/>
      </rPr>
      <t>M106</t>
    </r>
  </si>
  <si>
    <r>
      <t xml:space="preserve">Tutoría II. - </t>
    </r>
    <r>
      <rPr>
        <b/>
        <sz val="14"/>
        <color theme="1"/>
        <rFont val="Arial"/>
        <family val="2"/>
      </rPr>
      <t>M101</t>
    </r>
  </si>
  <si>
    <r>
      <t xml:space="preserve">Sistemas Operativos. - </t>
    </r>
    <r>
      <rPr>
        <b/>
        <sz val="14"/>
        <color theme="1"/>
        <rFont val="Arial"/>
        <family val="2"/>
      </rPr>
      <t>M107</t>
    </r>
  </si>
  <si>
    <r>
      <t xml:space="preserve">Conmutación y Enrutamiento de Redes. - </t>
    </r>
    <r>
      <rPr>
        <b/>
        <sz val="14"/>
        <color theme="1"/>
        <rFont val="Arial"/>
        <family val="2"/>
      </rPr>
      <t>M107</t>
    </r>
  </si>
  <si>
    <r>
      <t xml:space="preserve">Programación Estructurada. - </t>
    </r>
    <r>
      <rPr>
        <b/>
        <sz val="14"/>
        <color theme="1"/>
        <rFont val="Arial"/>
        <family val="2"/>
      </rPr>
      <t>M107</t>
    </r>
  </si>
  <si>
    <r>
      <t xml:space="preserve">Sistemas Operativos. - </t>
    </r>
    <r>
      <rPr>
        <b/>
        <sz val="14"/>
        <color theme="1"/>
        <rFont val="Arial"/>
        <family val="2"/>
      </rPr>
      <t>M101</t>
    </r>
  </si>
  <si>
    <r>
      <t xml:space="preserve">Habilidades Socioemocionales y Manejo de Conflictos. - </t>
    </r>
    <r>
      <rPr>
        <b/>
        <sz val="14"/>
        <color theme="1"/>
        <rFont val="Arial"/>
        <family val="2"/>
      </rPr>
      <t>M103</t>
    </r>
  </si>
  <si>
    <t>Tutoría II. - M103</t>
  </si>
  <si>
    <r>
      <t xml:space="preserve">Matemáticas Discretas. - </t>
    </r>
    <r>
      <rPr>
        <b/>
        <sz val="14"/>
        <color theme="1"/>
        <rFont val="Arial"/>
        <family val="2"/>
      </rPr>
      <t>M103</t>
    </r>
  </si>
  <si>
    <r>
      <t xml:space="preserve">Cálculo Diferencial. - </t>
    </r>
    <r>
      <rPr>
        <b/>
        <sz val="14"/>
        <color theme="1"/>
        <rFont val="Arial"/>
        <family val="2"/>
      </rPr>
      <t>M103</t>
    </r>
  </si>
  <si>
    <t>Tutoría II. - M104</t>
  </si>
  <si>
    <r>
      <t xml:space="preserve">Arquitectura de Computadoras y Servidores. - </t>
    </r>
    <r>
      <rPr>
        <b/>
        <sz val="14"/>
        <color theme="1"/>
        <rFont val="Arial"/>
        <family val="2"/>
      </rPr>
      <t>M107</t>
    </r>
  </si>
  <si>
    <r>
      <t xml:space="preserve">Arquitectura de Computadoras y Servidores. - </t>
    </r>
    <r>
      <rPr>
        <b/>
        <sz val="14"/>
        <color theme="1"/>
        <rFont val="Arial"/>
        <family val="2"/>
      </rPr>
      <t>M103</t>
    </r>
  </si>
  <si>
    <r>
      <t xml:space="preserve">Cálculo Diferencial. - </t>
    </r>
    <r>
      <rPr>
        <b/>
        <sz val="14"/>
        <color theme="1"/>
        <rFont val="Arial"/>
        <family val="2"/>
      </rPr>
      <t>M104</t>
    </r>
  </si>
  <si>
    <r>
      <t xml:space="preserve">Habilidades Socioemocionales y Manejo de Conflictos. - </t>
    </r>
    <r>
      <rPr>
        <b/>
        <sz val="14"/>
        <color theme="1"/>
        <rFont val="Arial"/>
        <family val="2"/>
      </rPr>
      <t>M104</t>
    </r>
  </si>
  <si>
    <r>
      <t xml:space="preserve">Probabilidad y Estadística. - </t>
    </r>
    <r>
      <rPr>
        <b/>
        <sz val="14"/>
        <color theme="1"/>
        <rFont val="Arial"/>
        <family val="2"/>
      </rPr>
      <t>M104</t>
    </r>
  </si>
  <si>
    <r>
      <t xml:space="preserve">Introducción a Big Data - </t>
    </r>
    <r>
      <rPr>
        <b/>
        <sz val="14"/>
        <color theme="1"/>
        <rFont val="Arial"/>
        <family val="2"/>
      </rPr>
      <t>M107</t>
    </r>
  </si>
  <si>
    <r>
      <t xml:space="preserve">Administración de Redes de Datos - </t>
    </r>
    <r>
      <rPr>
        <b/>
        <sz val="14"/>
        <color theme="1"/>
        <rFont val="Arial"/>
        <family val="2"/>
      </rPr>
      <t>M106</t>
    </r>
  </si>
  <si>
    <r>
      <t xml:space="preserve">Ciberseguridad - </t>
    </r>
    <r>
      <rPr>
        <b/>
        <sz val="14"/>
        <color theme="1"/>
        <rFont val="Arial"/>
        <family val="2"/>
      </rPr>
      <t>M102</t>
    </r>
  </si>
  <si>
    <r>
      <t xml:space="preserve">Integradora II - </t>
    </r>
    <r>
      <rPr>
        <b/>
        <sz val="14"/>
        <color theme="1"/>
        <rFont val="Arial"/>
        <family val="2"/>
      </rPr>
      <t>M102</t>
    </r>
  </si>
  <si>
    <r>
      <t xml:space="preserve">Administración de Servidores II - </t>
    </r>
    <r>
      <rPr>
        <b/>
        <sz val="14"/>
        <color theme="1"/>
        <rFont val="Arial"/>
        <family val="2"/>
      </rPr>
      <t>M102</t>
    </r>
  </si>
  <si>
    <r>
      <t xml:space="preserve">Expresión Oral y Escrita II - </t>
    </r>
    <r>
      <rPr>
        <b/>
        <sz val="14"/>
        <color theme="1"/>
        <rFont val="Arial"/>
        <family val="2"/>
      </rPr>
      <t>M101</t>
    </r>
  </si>
  <si>
    <r>
      <t xml:space="preserve">Administración de Redes de Datos - </t>
    </r>
    <r>
      <rPr>
        <b/>
        <sz val="14"/>
        <color theme="1"/>
        <rFont val="Arial"/>
        <family val="2"/>
      </rPr>
      <t>M108</t>
    </r>
  </si>
  <si>
    <r>
      <t xml:space="preserve">Introducción a Big Data - </t>
    </r>
    <r>
      <rPr>
        <b/>
        <sz val="14"/>
        <color theme="1"/>
        <rFont val="Arial"/>
        <family val="2"/>
      </rPr>
      <t>M108</t>
    </r>
  </si>
  <si>
    <r>
      <t xml:space="preserve">Administración de Servidores II - </t>
    </r>
    <r>
      <rPr>
        <b/>
        <sz val="14"/>
        <color theme="1"/>
        <rFont val="Arial"/>
        <family val="2"/>
      </rPr>
      <t>M103</t>
    </r>
  </si>
  <si>
    <r>
      <t xml:space="preserve">Ciberseguridad - </t>
    </r>
    <r>
      <rPr>
        <b/>
        <sz val="14"/>
        <color theme="1"/>
        <rFont val="Arial"/>
        <family val="2"/>
      </rPr>
      <t>M108</t>
    </r>
  </si>
  <si>
    <r>
      <t xml:space="preserve">Expresión Oral y Escrita II - </t>
    </r>
    <r>
      <rPr>
        <b/>
        <sz val="14"/>
        <color theme="1"/>
        <rFont val="Arial"/>
        <family val="2"/>
      </rPr>
      <t>M104</t>
    </r>
  </si>
  <si>
    <t>GRUPO:  DAD101</t>
  </si>
  <si>
    <t>MARQUEZ SÁNCHEZ DANIEL MAURICIO</t>
  </si>
  <si>
    <t>TUTOR: MARQUEZ SÁNCHEZ DANIEL MAURICIO</t>
  </si>
  <si>
    <t>Tutoría II. -M210</t>
  </si>
  <si>
    <t>Tutoría II. - M210</t>
  </si>
  <si>
    <r>
      <t xml:space="preserve">Comunicación Gráfica. - </t>
    </r>
    <r>
      <rPr>
        <b/>
        <sz val="14"/>
        <color theme="1"/>
        <rFont val="Arial"/>
        <family val="2"/>
      </rPr>
      <t>L102</t>
    </r>
  </si>
  <si>
    <r>
      <t xml:space="preserve">Fundamentos Matemáticos. - </t>
    </r>
    <r>
      <rPr>
        <b/>
        <sz val="14"/>
        <color theme="1"/>
        <rFont val="Arial"/>
        <family val="2"/>
      </rPr>
      <t>L102</t>
    </r>
  </si>
  <si>
    <r>
      <t xml:space="preserve">Comunicación y Habilidades Digitales. - </t>
    </r>
    <r>
      <rPr>
        <b/>
        <sz val="14"/>
        <color theme="1"/>
        <rFont val="Arial"/>
        <family val="2"/>
      </rPr>
      <t>L102</t>
    </r>
  </si>
  <si>
    <r>
      <t xml:space="preserve">Representación Visual. - </t>
    </r>
    <r>
      <rPr>
        <b/>
        <sz val="14"/>
        <color theme="1"/>
        <rFont val="Arial"/>
        <family val="2"/>
      </rPr>
      <t>L102</t>
    </r>
  </si>
  <si>
    <r>
      <t xml:space="preserve">Desarrollo Humano y Valores. - </t>
    </r>
    <r>
      <rPr>
        <b/>
        <sz val="14"/>
        <color theme="1"/>
        <rFont val="Arial"/>
        <family val="2"/>
      </rPr>
      <t>L102</t>
    </r>
  </si>
  <si>
    <r>
      <t xml:space="preserve">Tutoría I - </t>
    </r>
    <r>
      <rPr>
        <b/>
        <sz val="14"/>
        <color theme="1"/>
        <rFont val="Arial"/>
        <family val="2"/>
      </rPr>
      <t>L102</t>
    </r>
  </si>
  <si>
    <r>
      <t xml:space="preserve">Representación Geométrica. - </t>
    </r>
    <r>
      <rPr>
        <b/>
        <sz val="14"/>
        <color theme="1"/>
        <rFont val="Arial"/>
        <family val="2"/>
      </rPr>
      <t>BITMAP</t>
    </r>
  </si>
  <si>
    <r>
      <t xml:space="preserve">Ilustración Digital. - </t>
    </r>
    <r>
      <rPr>
        <b/>
        <sz val="14"/>
        <color theme="1"/>
        <rFont val="Arial"/>
        <family val="2"/>
      </rPr>
      <t>BITMAP</t>
    </r>
  </si>
  <si>
    <r>
      <t xml:space="preserve">Mercadotecnia. - </t>
    </r>
    <r>
      <rPr>
        <b/>
        <sz val="14"/>
        <color theme="1"/>
        <rFont val="Arial"/>
        <family val="2"/>
      </rPr>
      <t>M210</t>
    </r>
  </si>
  <si>
    <r>
      <t xml:space="preserve">Modelado Manual. - </t>
    </r>
    <r>
      <rPr>
        <b/>
        <sz val="14"/>
        <color theme="1"/>
        <rFont val="Arial"/>
        <family val="2"/>
      </rPr>
      <t>M210</t>
    </r>
  </si>
  <si>
    <r>
      <t xml:space="preserve">Representación Geométrica. - </t>
    </r>
    <r>
      <rPr>
        <b/>
        <sz val="14"/>
        <color theme="1"/>
        <rFont val="Arial"/>
        <family val="2"/>
      </rPr>
      <t>M210</t>
    </r>
  </si>
  <si>
    <r>
      <t xml:space="preserve">Geometría Descriptiva. - </t>
    </r>
    <r>
      <rPr>
        <b/>
        <sz val="14"/>
        <color theme="1"/>
        <rFont val="Arial"/>
        <family val="2"/>
      </rPr>
      <t>M210</t>
    </r>
  </si>
  <si>
    <r>
      <t xml:space="preserve">Geometría Descriptiva. </t>
    </r>
    <r>
      <rPr>
        <b/>
        <sz val="14"/>
        <color theme="1"/>
        <rFont val="Arial"/>
        <family val="2"/>
      </rPr>
      <t>M210</t>
    </r>
  </si>
  <si>
    <r>
      <t xml:space="preserve">Fundamentos de Diseño y del Lenguaje Visual. - </t>
    </r>
    <r>
      <rPr>
        <b/>
        <sz val="14"/>
        <color theme="1"/>
        <rFont val="Arial"/>
        <family val="2"/>
      </rPr>
      <t>L106</t>
    </r>
  </si>
  <si>
    <r>
      <rPr>
        <sz val="14"/>
        <color theme="1"/>
        <rFont val="Arial"/>
        <family val="2"/>
      </rPr>
      <t xml:space="preserve">Geometría Descriptiva. - </t>
    </r>
    <r>
      <rPr>
        <b/>
        <sz val="14"/>
        <color theme="1"/>
        <rFont val="Arial"/>
        <family val="2"/>
      </rPr>
      <t>Lab. Info. Básica</t>
    </r>
  </si>
  <si>
    <r>
      <t xml:space="preserve">Geometría Descriptiva. - </t>
    </r>
    <r>
      <rPr>
        <b/>
        <sz val="14"/>
        <color theme="1"/>
        <rFont val="Arial"/>
        <family val="2"/>
      </rPr>
      <t>M104</t>
    </r>
  </si>
  <si>
    <t>Tutoría II. - M206</t>
  </si>
  <si>
    <r>
      <t xml:space="preserve">Animación 2D Avanzada - </t>
    </r>
    <r>
      <rPr>
        <b/>
        <sz val="14"/>
        <color theme="1"/>
        <rFont val="Arial"/>
        <family val="2"/>
      </rPr>
      <t>BITMAP</t>
    </r>
  </si>
  <si>
    <r>
      <t xml:space="preserve">Diseño de Interfaz Web - </t>
    </r>
    <r>
      <rPr>
        <b/>
        <sz val="14"/>
        <color theme="1"/>
        <rFont val="Arial"/>
        <family val="2"/>
      </rPr>
      <t>M102</t>
    </r>
  </si>
  <si>
    <r>
      <t xml:space="preserve">Imagen Corporativa - </t>
    </r>
    <r>
      <rPr>
        <b/>
        <sz val="14"/>
        <color theme="1"/>
        <rFont val="Arial"/>
        <family val="2"/>
      </rPr>
      <t>M101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</si>
  <si>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M101</t>
    </r>
  </si>
  <si>
    <r>
      <t xml:space="preserve">Animación de Personajes 3D - </t>
    </r>
    <r>
      <rPr>
        <b/>
        <sz val="14"/>
        <color theme="1"/>
        <rFont val="Arial"/>
        <family val="2"/>
      </rPr>
      <t>M203</t>
    </r>
  </si>
  <si>
    <r>
      <t xml:space="preserve">Animación en 3D - </t>
    </r>
    <r>
      <rPr>
        <b/>
        <sz val="14"/>
        <color theme="1"/>
        <rFont val="Arial"/>
        <family val="2"/>
      </rPr>
      <t>M203</t>
    </r>
  </si>
  <si>
    <r>
      <t xml:space="preserve">Modelado y Espacios Virtuales - </t>
    </r>
    <r>
      <rPr>
        <b/>
        <sz val="14"/>
        <color theme="1"/>
        <rFont val="Arial"/>
        <family val="2"/>
      </rPr>
      <t>M203</t>
    </r>
  </si>
  <si>
    <r>
      <t xml:space="preserve">Habilidades Socioemocionales y Manejo de Conflictos. - </t>
    </r>
    <r>
      <rPr>
        <b/>
        <sz val="14"/>
        <color theme="1"/>
        <rFont val="Arial"/>
        <family val="2"/>
      </rPr>
      <t>M211</t>
    </r>
  </si>
  <si>
    <r>
      <t xml:space="preserve">Habilidades Socioemocionales y Manejo de Conflictos. - </t>
    </r>
    <r>
      <rPr>
        <b/>
        <sz val="14"/>
        <rFont val="Arial"/>
        <family val="2"/>
      </rPr>
      <t>M211</t>
    </r>
  </si>
  <si>
    <t>Tutoría II. - M201</t>
  </si>
  <si>
    <r>
      <t xml:space="preserve">Habilidades Socioemocionales y Manejo de Conflictos. - </t>
    </r>
    <r>
      <rPr>
        <b/>
        <sz val="14"/>
        <color theme="1"/>
        <rFont val="Arial"/>
        <family val="2"/>
      </rPr>
      <t>M209</t>
    </r>
  </si>
  <si>
    <r>
      <t xml:space="preserve">Modelado Manual. - </t>
    </r>
    <r>
      <rPr>
        <b/>
        <sz val="14"/>
        <color theme="1"/>
        <rFont val="Arial"/>
        <family val="2"/>
      </rPr>
      <t>M207</t>
    </r>
  </si>
  <si>
    <r>
      <t xml:space="preserve">Mercadotecnia. - </t>
    </r>
    <r>
      <rPr>
        <b/>
        <sz val="14"/>
        <color theme="1"/>
        <rFont val="Arial"/>
        <family val="2"/>
      </rPr>
      <t>M207</t>
    </r>
  </si>
  <si>
    <r>
      <t xml:space="preserve">Representación Geométrica. - </t>
    </r>
    <r>
      <rPr>
        <b/>
        <sz val="14"/>
        <color theme="1"/>
        <rFont val="Arial"/>
        <family val="2"/>
      </rPr>
      <t>Lab. Info. Básica</t>
    </r>
  </si>
  <si>
    <r>
      <t xml:space="preserve">Geometría Descriptiva. - </t>
    </r>
    <r>
      <rPr>
        <b/>
        <sz val="14"/>
        <color theme="1"/>
        <rFont val="Arial"/>
        <family val="2"/>
      </rPr>
      <t>Lab. Info. Básica</t>
    </r>
  </si>
  <si>
    <t>|</t>
  </si>
  <si>
    <t>Geometría Descriptiva. - Lab. Diseño PC</t>
  </si>
  <si>
    <r>
      <t xml:space="preserve">Representación Geométrica. - </t>
    </r>
    <r>
      <rPr>
        <b/>
        <sz val="14"/>
        <color theme="1"/>
        <rFont val="Arial"/>
        <family val="2"/>
      </rPr>
      <t>Lab. Diseño PC</t>
    </r>
  </si>
  <si>
    <r>
      <t xml:space="preserve">Habilidades Socioemocionales y Manejo de Conflictos. - </t>
    </r>
    <r>
      <rPr>
        <b/>
        <sz val="14"/>
        <color theme="1"/>
        <rFont val="Arial"/>
        <family val="2"/>
      </rPr>
      <t>M201</t>
    </r>
  </si>
  <si>
    <r>
      <t xml:space="preserve">Modelado Manual. - </t>
    </r>
    <r>
      <rPr>
        <b/>
        <sz val="14"/>
        <color theme="1"/>
        <rFont val="Arial"/>
        <family val="2"/>
      </rPr>
      <t>M206</t>
    </r>
  </si>
  <si>
    <r>
      <t xml:space="preserve">Ilustración Digital. - </t>
    </r>
    <r>
      <rPr>
        <b/>
        <sz val="14"/>
        <color theme="1"/>
        <rFont val="Arial"/>
        <family val="2"/>
      </rPr>
      <t>CCAI PC</t>
    </r>
  </si>
  <si>
    <t>Tutoría II. - Lab. Info. Básica</t>
  </si>
  <si>
    <r>
      <t xml:space="preserve">Mercadotecnia. - </t>
    </r>
    <r>
      <rPr>
        <b/>
        <sz val="14"/>
        <color theme="1"/>
        <rFont val="Arial"/>
        <family val="2"/>
      </rPr>
      <t>M211</t>
    </r>
  </si>
  <si>
    <t>Tutoría II. M201</t>
  </si>
  <si>
    <r>
      <t xml:space="preserve">Geometría Descriptiva. - </t>
    </r>
    <r>
      <rPr>
        <b/>
        <sz val="14"/>
        <color theme="1"/>
        <rFont val="Arial"/>
        <family val="2"/>
      </rPr>
      <t>Lab. Diseño PC</t>
    </r>
  </si>
  <si>
    <r>
      <t xml:space="preserve">Geometría Descriptiva. - </t>
    </r>
    <r>
      <rPr>
        <b/>
        <sz val="14"/>
        <color theme="1"/>
        <rFont val="Arial"/>
        <family val="2"/>
      </rPr>
      <t>M106</t>
    </r>
  </si>
  <si>
    <t>Tutoría II. - M106</t>
  </si>
  <si>
    <r>
      <t xml:space="preserve">Mercadotecnia. - </t>
    </r>
    <r>
      <rPr>
        <b/>
        <sz val="14"/>
        <color theme="1"/>
        <rFont val="Arial"/>
        <family val="2"/>
      </rPr>
      <t>M209</t>
    </r>
  </si>
  <si>
    <t xml:space="preserve">                     </t>
  </si>
  <si>
    <r>
      <t xml:space="preserve">Representación Geométrica. - </t>
    </r>
    <r>
      <rPr>
        <b/>
        <sz val="14"/>
        <color theme="1"/>
        <rFont val="Arial"/>
        <family val="2"/>
      </rPr>
      <t>M203</t>
    </r>
  </si>
  <si>
    <r>
      <t xml:space="preserve">Representación Geométrica. - </t>
    </r>
    <r>
      <rPr>
        <b/>
        <sz val="14"/>
        <color theme="1"/>
        <rFont val="Arial"/>
        <family val="2"/>
      </rPr>
      <t>L102</t>
    </r>
  </si>
  <si>
    <r>
      <t xml:space="preserve">Edición de Audio y Video - </t>
    </r>
    <r>
      <rPr>
        <b/>
        <sz val="14"/>
        <color theme="1"/>
        <rFont val="Arial"/>
        <family val="2"/>
      </rPr>
      <t>M202</t>
    </r>
  </si>
  <si>
    <r>
      <t xml:space="preserve">Edición de Audio y Video - </t>
    </r>
    <r>
      <rPr>
        <b/>
        <sz val="14"/>
        <color theme="1"/>
        <rFont val="Arial"/>
        <family val="2"/>
      </rPr>
      <t>M204</t>
    </r>
  </si>
  <si>
    <r>
      <t xml:space="preserve">Fotografía Digital - </t>
    </r>
    <r>
      <rPr>
        <b/>
        <sz val="14"/>
        <color theme="1"/>
        <rFont val="Arial"/>
        <family val="2"/>
      </rPr>
      <t>M205</t>
    </r>
  </si>
  <si>
    <r>
      <t xml:space="preserve">Costos - </t>
    </r>
    <r>
      <rPr>
        <b/>
        <sz val="14"/>
        <color theme="1"/>
        <rFont val="Arial"/>
        <family val="2"/>
      </rPr>
      <t>M205</t>
    </r>
  </si>
  <si>
    <r>
      <t xml:space="preserve">Mercadotecnia - </t>
    </r>
    <r>
      <rPr>
        <b/>
        <sz val="14"/>
        <color theme="1"/>
        <rFont val="Arial"/>
        <family val="2"/>
      </rPr>
      <t>M205</t>
    </r>
  </si>
  <si>
    <r>
      <t xml:space="preserve">Formación Sociocultural III - </t>
    </r>
    <r>
      <rPr>
        <b/>
        <sz val="14"/>
        <color theme="1"/>
        <rFont val="Arial"/>
        <family val="2"/>
      </rPr>
      <t>M205</t>
    </r>
  </si>
  <si>
    <r>
      <t xml:space="preserve">Proceso Administrativo - </t>
    </r>
    <r>
      <rPr>
        <b/>
        <sz val="14"/>
        <color theme="1"/>
        <rFont val="Arial"/>
        <family val="2"/>
      </rPr>
      <t>M205</t>
    </r>
  </si>
  <si>
    <r>
      <t xml:space="preserve">Geometría Descriptiva. - </t>
    </r>
    <r>
      <rPr>
        <b/>
        <sz val="14"/>
        <color theme="1"/>
        <rFont val="Arial"/>
        <family val="2"/>
      </rPr>
      <t>M102</t>
    </r>
  </si>
  <si>
    <r>
      <t xml:space="preserve">Software CAD - </t>
    </r>
    <r>
      <rPr>
        <b/>
        <sz val="14"/>
        <color theme="1"/>
        <rFont val="Arial"/>
        <family val="2"/>
      </rPr>
      <t>Lab. Diseño PC</t>
    </r>
  </si>
  <si>
    <r>
      <t xml:space="preserve">Guionismo y Storyboard - </t>
    </r>
    <r>
      <rPr>
        <b/>
        <sz val="14"/>
        <color theme="1"/>
        <rFont val="Arial"/>
        <family val="2"/>
      </rPr>
      <t>L105</t>
    </r>
  </si>
  <si>
    <r>
      <t xml:space="preserve">Formación Sociocultural IV - </t>
    </r>
    <r>
      <rPr>
        <b/>
        <sz val="14"/>
        <color theme="1"/>
        <rFont val="Arial"/>
        <family val="2"/>
      </rPr>
      <t>L105</t>
    </r>
  </si>
  <si>
    <r>
      <t xml:space="preserve">Física - </t>
    </r>
    <r>
      <rPr>
        <b/>
        <sz val="14"/>
        <color theme="1"/>
        <rFont val="Arial"/>
        <family val="2"/>
      </rPr>
      <t>L105</t>
    </r>
  </si>
  <si>
    <r>
      <t xml:space="preserve">Proceso de Diseño - </t>
    </r>
    <r>
      <rPr>
        <b/>
        <sz val="14"/>
        <color theme="1"/>
        <rFont val="Arial"/>
        <family val="2"/>
      </rPr>
      <t>L105</t>
    </r>
  </si>
  <si>
    <r>
      <t xml:space="preserve">Diseño Editorial Digital - </t>
    </r>
    <r>
      <rPr>
        <b/>
        <sz val="14"/>
        <color theme="1"/>
        <rFont val="Arial"/>
        <family val="2"/>
      </rPr>
      <t>M203</t>
    </r>
  </si>
  <si>
    <r>
      <t xml:space="preserve">Integradora I - </t>
    </r>
    <r>
      <rPr>
        <b/>
        <sz val="14"/>
        <color theme="1"/>
        <rFont val="Arial"/>
        <family val="2"/>
      </rPr>
      <t>L105</t>
    </r>
  </si>
  <si>
    <r>
      <t xml:space="preserve">Prototipos - </t>
    </r>
    <r>
      <rPr>
        <b/>
        <sz val="14"/>
        <color theme="1"/>
        <rFont val="Arial"/>
        <family val="2"/>
      </rPr>
      <t>CCAI PC</t>
    </r>
  </si>
  <si>
    <r>
      <t xml:space="preserve">Representación Geométrica. - </t>
    </r>
    <r>
      <rPr>
        <b/>
        <sz val="14"/>
        <color theme="1"/>
        <rFont val="Arial"/>
        <family val="2"/>
      </rPr>
      <t>CCAI PC</t>
    </r>
  </si>
  <si>
    <r>
      <t xml:space="preserve">Animación en 2D - </t>
    </r>
    <r>
      <rPr>
        <b/>
        <sz val="14"/>
        <color theme="1"/>
        <rFont val="Arial"/>
        <family val="2"/>
      </rPr>
      <t>Lab. Diseño PC</t>
    </r>
  </si>
  <si>
    <r>
      <t xml:space="preserve">Imagen Digital Animada - </t>
    </r>
    <r>
      <rPr>
        <b/>
        <sz val="14"/>
        <color theme="1"/>
        <rFont val="Arial"/>
        <family val="2"/>
      </rPr>
      <t>CCAI PC</t>
    </r>
  </si>
  <si>
    <r>
      <t xml:space="preserve">Integradora II - </t>
    </r>
    <r>
      <rPr>
        <b/>
        <sz val="14"/>
        <color theme="1"/>
        <rFont val="Arial"/>
        <family val="2"/>
      </rPr>
      <t>M209</t>
    </r>
  </si>
  <si>
    <r>
      <t xml:space="preserve">Expresión Oral y Escrita II - </t>
    </r>
    <r>
      <rPr>
        <b/>
        <sz val="14"/>
        <color theme="1"/>
        <rFont val="Arial"/>
        <family val="2"/>
      </rPr>
      <t>M209</t>
    </r>
  </si>
  <si>
    <r>
      <t xml:space="preserve">Expresión Oral y Escrita II - </t>
    </r>
    <r>
      <rPr>
        <b/>
        <sz val="14"/>
        <color theme="1"/>
        <rFont val="Arial"/>
        <family val="2"/>
      </rPr>
      <t>M205</t>
    </r>
  </si>
  <si>
    <r>
      <t xml:space="preserve">Geometría Descriptiva. - </t>
    </r>
    <r>
      <rPr>
        <b/>
        <sz val="14"/>
        <color theme="1"/>
        <rFont val="Arial"/>
        <family val="2"/>
      </rPr>
      <t>M105</t>
    </r>
  </si>
  <si>
    <r>
      <t xml:space="preserve">Animación en 3D - </t>
    </r>
    <r>
      <rPr>
        <b/>
        <sz val="14"/>
        <color theme="1"/>
        <rFont val="Arial"/>
        <family val="2"/>
      </rPr>
      <t>Lab. Info. Básica</t>
    </r>
  </si>
  <si>
    <r>
      <t xml:space="preserve">Animación en 3D - </t>
    </r>
    <r>
      <rPr>
        <b/>
        <sz val="14"/>
        <color theme="1"/>
        <rFont val="Arial"/>
        <family val="2"/>
      </rPr>
      <t>M106</t>
    </r>
  </si>
  <si>
    <t>Inglés VII NP</t>
  </si>
  <si>
    <r>
      <t xml:space="preserve">Representación Geométrica.  - </t>
    </r>
    <r>
      <rPr>
        <b/>
        <sz val="14"/>
        <color theme="1"/>
        <rFont val="Arial"/>
        <family val="2"/>
      </rPr>
      <t>Lab. Diseño PC</t>
    </r>
  </si>
  <si>
    <r>
      <t xml:space="preserve">Mercadotecnia. - </t>
    </r>
    <r>
      <rPr>
        <b/>
        <sz val="14"/>
        <color theme="1"/>
        <rFont val="Arial"/>
        <family val="2"/>
      </rPr>
      <t>M201</t>
    </r>
  </si>
  <si>
    <r>
      <t xml:space="preserve">Representación Geométrica.  - </t>
    </r>
    <r>
      <rPr>
        <b/>
        <sz val="14"/>
        <color theme="1"/>
        <rFont val="Arial"/>
        <family val="2"/>
      </rPr>
      <t>M201</t>
    </r>
  </si>
  <si>
    <r>
      <t xml:space="preserve">Animación en 3D - </t>
    </r>
    <r>
      <rPr>
        <b/>
        <sz val="14"/>
        <color theme="1"/>
        <rFont val="Arial"/>
        <family val="2"/>
      </rPr>
      <t>CCAI MAC</t>
    </r>
  </si>
  <si>
    <r>
      <t xml:space="preserve">Representación Geométrica. - </t>
    </r>
    <r>
      <rPr>
        <b/>
        <sz val="14"/>
        <color theme="1"/>
        <rFont val="Arial"/>
        <family val="2"/>
      </rPr>
      <t>M206</t>
    </r>
  </si>
  <si>
    <r>
      <t xml:space="preserve">Representación Geométrica. - </t>
    </r>
    <r>
      <rPr>
        <b/>
        <sz val="14"/>
        <color theme="1"/>
        <rFont val="Arial"/>
        <family val="2"/>
      </rPr>
      <t>M201</t>
    </r>
  </si>
  <si>
    <r>
      <t xml:space="preserve">Ilustración Digital. - </t>
    </r>
    <r>
      <rPr>
        <b/>
        <sz val="14"/>
        <color theme="1"/>
        <rFont val="Arial"/>
        <family val="2"/>
      </rPr>
      <t>M204</t>
    </r>
  </si>
  <si>
    <r>
      <t xml:space="preserve">Ilustración II - </t>
    </r>
    <r>
      <rPr>
        <b/>
        <sz val="14"/>
        <color theme="1"/>
        <rFont val="Arial"/>
        <family val="2"/>
      </rPr>
      <t>BITMAP</t>
    </r>
  </si>
  <si>
    <r>
      <t xml:space="preserve">Edición de Audio y Video - </t>
    </r>
    <r>
      <rPr>
        <b/>
        <sz val="14"/>
        <color theme="1"/>
        <rFont val="Arial"/>
        <family val="2"/>
      </rPr>
      <t>CCAI MAC</t>
    </r>
  </si>
  <si>
    <r>
      <t xml:space="preserve">Imagen Digital Animada - </t>
    </r>
    <r>
      <rPr>
        <b/>
        <sz val="14"/>
        <color theme="1"/>
        <rFont val="Arial"/>
        <family val="2"/>
      </rPr>
      <t>M108</t>
    </r>
  </si>
  <si>
    <r>
      <t xml:space="preserve">Integradora II - </t>
    </r>
    <r>
      <rPr>
        <b/>
        <sz val="14"/>
        <color theme="1"/>
        <rFont val="Arial"/>
        <family val="2"/>
      </rPr>
      <t>M206</t>
    </r>
  </si>
  <si>
    <r>
      <t xml:space="preserve">Expresión Oral y Escrita II - </t>
    </r>
    <r>
      <rPr>
        <b/>
        <sz val="14"/>
        <color theme="1"/>
        <rFont val="Arial"/>
        <family val="2"/>
      </rPr>
      <t>M103</t>
    </r>
  </si>
  <si>
    <r>
      <t xml:space="preserve">Imagen Digital Animada - </t>
    </r>
    <r>
      <rPr>
        <b/>
        <sz val="14"/>
        <color theme="1"/>
        <rFont val="Arial"/>
        <family val="2"/>
      </rPr>
      <t>M202</t>
    </r>
  </si>
  <si>
    <r>
      <t xml:space="preserve">Imagen Digital Animada - </t>
    </r>
    <r>
      <rPr>
        <b/>
        <sz val="14"/>
        <color theme="1"/>
        <rFont val="Arial"/>
        <family val="2"/>
      </rPr>
      <t>M204</t>
    </r>
  </si>
  <si>
    <r>
      <t xml:space="preserve">Estadística - </t>
    </r>
    <r>
      <rPr>
        <b/>
        <sz val="14"/>
        <color theme="1"/>
        <rFont val="Arial"/>
        <family val="2"/>
      </rPr>
      <t>M211</t>
    </r>
  </si>
  <si>
    <r>
      <t xml:space="preserve">Semiótica y Hermenéutica - </t>
    </r>
    <r>
      <rPr>
        <b/>
        <sz val="14"/>
        <color theme="1"/>
        <rFont val="Arial"/>
        <family val="2"/>
      </rPr>
      <t>M211</t>
    </r>
  </si>
  <si>
    <r>
      <t xml:space="preserve">Administración del Tiempo - </t>
    </r>
    <r>
      <rPr>
        <b/>
        <sz val="14"/>
        <color theme="1"/>
        <rFont val="Arial"/>
        <family val="2"/>
      </rPr>
      <t>M211</t>
    </r>
  </si>
  <si>
    <r>
      <t xml:space="preserve">Metodología de Diseño - </t>
    </r>
    <r>
      <rPr>
        <b/>
        <sz val="14"/>
        <color theme="1"/>
        <rFont val="Arial"/>
        <family val="2"/>
      </rPr>
      <t>M201</t>
    </r>
  </si>
  <si>
    <r>
      <t xml:space="preserve">Mercadotecnia Digital - </t>
    </r>
    <r>
      <rPr>
        <b/>
        <sz val="14"/>
        <color theme="1"/>
        <rFont val="Arial"/>
        <family val="2"/>
      </rPr>
      <t>L104</t>
    </r>
  </si>
  <si>
    <r>
      <t xml:space="preserve">Estética Digital - </t>
    </r>
    <r>
      <rPr>
        <b/>
        <sz val="14"/>
        <color theme="1"/>
        <rFont val="Arial"/>
        <family val="2"/>
      </rPr>
      <t>M208</t>
    </r>
  </si>
  <si>
    <r>
      <t xml:space="preserve">Mercadotecnia Digital - </t>
    </r>
    <r>
      <rPr>
        <b/>
        <sz val="14"/>
        <color theme="1"/>
        <rFont val="Arial"/>
        <family val="2"/>
      </rPr>
      <t>M105</t>
    </r>
  </si>
  <si>
    <r>
      <t xml:space="preserve">Metodología de Diseño - </t>
    </r>
    <r>
      <rPr>
        <b/>
        <sz val="14"/>
        <color theme="1"/>
        <rFont val="Arial"/>
        <family val="2"/>
      </rPr>
      <t>M105</t>
    </r>
  </si>
  <si>
    <r>
      <t xml:space="preserve">Administración del Tiempo - </t>
    </r>
    <r>
      <rPr>
        <b/>
        <sz val="14"/>
        <color theme="1"/>
        <rFont val="Arial"/>
        <family val="2"/>
      </rPr>
      <t>M105</t>
    </r>
  </si>
  <si>
    <r>
      <t xml:space="preserve">Semiótica y Hermenéutica - </t>
    </r>
    <r>
      <rPr>
        <b/>
        <sz val="14"/>
        <color theme="1"/>
        <rFont val="Arial"/>
        <family val="2"/>
      </rPr>
      <t>M105</t>
    </r>
  </si>
  <si>
    <r>
      <t xml:space="preserve">Estadística - </t>
    </r>
    <r>
      <rPr>
        <b/>
        <sz val="14"/>
        <color theme="1"/>
        <rFont val="Arial"/>
        <family val="2"/>
      </rPr>
      <t>L106</t>
    </r>
  </si>
  <si>
    <r>
      <t xml:space="preserve">Animación 2D Avanzada - </t>
    </r>
    <r>
      <rPr>
        <b/>
        <sz val="14"/>
        <color theme="1"/>
        <rFont val="Arial"/>
        <family val="2"/>
      </rPr>
      <t>M202</t>
    </r>
  </si>
  <si>
    <r>
      <t xml:space="preserve">Imagen Corporativa - </t>
    </r>
    <r>
      <rPr>
        <b/>
        <sz val="14"/>
        <color theme="1"/>
        <rFont val="Arial"/>
        <family val="2"/>
      </rPr>
      <t>M205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</si>
  <si>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M103</t>
    </r>
  </si>
  <si>
    <r>
      <t xml:space="preserve">Diseño de Interfaz Web - </t>
    </r>
    <r>
      <rPr>
        <b/>
        <sz val="14"/>
        <color theme="1"/>
        <rFont val="Arial"/>
        <family val="2"/>
      </rPr>
      <t>M106</t>
    </r>
  </si>
  <si>
    <r>
      <t xml:space="preserve">Imagen Corporativa - </t>
    </r>
    <r>
      <rPr>
        <b/>
        <sz val="14"/>
        <color theme="1"/>
        <rFont val="Arial"/>
        <family val="2"/>
      </rPr>
      <t>M209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</si>
  <si>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M209</t>
    </r>
  </si>
  <si>
    <r>
      <t xml:space="preserve">Proceso de Producción Audiovisual - </t>
    </r>
    <r>
      <rPr>
        <b/>
        <sz val="14"/>
        <color theme="1"/>
        <rFont val="Arial"/>
        <family val="2"/>
      </rPr>
      <t>M208</t>
    </r>
  </si>
  <si>
    <r>
      <t xml:space="preserve">Diseño Gráfico Experimental - </t>
    </r>
    <r>
      <rPr>
        <b/>
        <sz val="14"/>
        <color theme="1"/>
        <rFont val="Arial"/>
        <family val="2"/>
      </rPr>
      <t>M208</t>
    </r>
  </si>
  <si>
    <r>
      <t xml:space="preserve">Diseño Publicitario y Medios Digitales - </t>
    </r>
    <r>
      <rPr>
        <b/>
        <sz val="14"/>
        <color theme="1"/>
        <rFont val="Arial"/>
        <family val="2"/>
      </rPr>
      <t>M208</t>
    </r>
  </si>
  <si>
    <r>
      <t xml:space="preserve">Diseño Publicitario y Medios Digitales - </t>
    </r>
    <r>
      <rPr>
        <b/>
        <sz val="14"/>
        <color theme="1"/>
        <rFont val="Arial"/>
        <family val="2"/>
      </rPr>
      <t>M210</t>
    </r>
  </si>
  <si>
    <r>
      <t xml:space="preserve">Dirección de Equipos de Alto Rendimiento - </t>
    </r>
    <r>
      <rPr>
        <b/>
        <sz val="14"/>
        <color theme="1"/>
        <rFont val="Arial"/>
        <family val="2"/>
      </rPr>
      <t>M210</t>
    </r>
  </si>
  <si>
    <r>
      <t xml:space="preserve">Gestión de Proyectos - </t>
    </r>
    <r>
      <rPr>
        <b/>
        <sz val="14"/>
        <color theme="1"/>
        <rFont val="Arial"/>
        <family val="2"/>
      </rPr>
      <t>M205</t>
    </r>
  </si>
  <si>
    <r>
      <t xml:space="preserve">Postproducción Audiovisual - </t>
    </r>
    <r>
      <rPr>
        <b/>
        <sz val="14"/>
        <color theme="1"/>
        <rFont val="Arial"/>
        <family val="2"/>
      </rPr>
      <t>BITMAP</t>
    </r>
  </si>
  <si>
    <r>
      <t xml:space="preserve">Negociación Empresarial - </t>
    </r>
    <r>
      <rPr>
        <b/>
        <sz val="14"/>
        <color theme="1"/>
        <rFont val="Arial"/>
        <family val="2"/>
      </rPr>
      <t>M209</t>
    </r>
  </si>
  <si>
    <r>
      <t xml:space="preserve">Integradora I - </t>
    </r>
    <r>
      <rPr>
        <b/>
        <sz val="14"/>
        <color theme="1"/>
        <rFont val="Arial"/>
        <family val="2"/>
      </rPr>
      <t>M104</t>
    </r>
  </si>
  <si>
    <r>
      <t xml:space="preserve">Tecnologias para Manejo Masivo de Datos - </t>
    </r>
    <r>
      <rPr>
        <b/>
        <sz val="14"/>
        <color theme="1"/>
        <rFont val="Arial"/>
        <family val="2"/>
      </rPr>
      <t>M107</t>
    </r>
  </si>
  <si>
    <r>
      <t xml:space="preserve">Infraestructura de Centros de Datos - </t>
    </r>
    <r>
      <rPr>
        <b/>
        <sz val="14"/>
        <color theme="1"/>
        <rFont val="Arial"/>
        <family val="2"/>
      </rPr>
      <t>M107</t>
    </r>
  </si>
  <si>
    <r>
      <t xml:space="preserve">Cálculo Integral - </t>
    </r>
    <r>
      <rPr>
        <b/>
        <sz val="14"/>
        <color theme="1"/>
        <rFont val="Arial"/>
        <family val="2"/>
      </rPr>
      <t>M103</t>
    </r>
  </si>
  <si>
    <r>
      <t xml:space="preserve">Administración del Tiempo - </t>
    </r>
    <r>
      <rPr>
        <b/>
        <sz val="14"/>
        <color theme="1"/>
        <rFont val="Arial"/>
        <family val="2"/>
      </rPr>
      <t>M103</t>
    </r>
  </si>
  <si>
    <r>
      <t xml:space="preserve">Administración Avanzada de Infraestructura Virtualizada - </t>
    </r>
    <r>
      <rPr>
        <b/>
        <sz val="14"/>
        <color theme="1"/>
        <rFont val="Arial"/>
        <family val="2"/>
      </rPr>
      <t>M107</t>
    </r>
  </si>
  <si>
    <r>
      <t xml:space="preserve">Gestión de La Seguridad Informática - </t>
    </r>
    <r>
      <rPr>
        <b/>
        <sz val="14"/>
        <color theme="1"/>
        <rFont val="Arial"/>
        <family val="2"/>
      </rPr>
      <t>Lab. Diseño PC</t>
    </r>
  </si>
  <si>
    <r>
      <t xml:space="preserve">Matemáticas para Ingeniería I - </t>
    </r>
    <r>
      <rPr>
        <b/>
        <sz val="14"/>
        <color theme="1"/>
        <rFont val="Arial"/>
        <family val="2"/>
      </rPr>
      <t>M211</t>
    </r>
  </si>
  <si>
    <r>
      <t xml:space="preserve">Cómputo en la Nube - </t>
    </r>
    <r>
      <rPr>
        <b/>
        <sz val="14"/>
        <color theme="1"/>
        <rFont val="Arial"/>
        <family val="2"/>
      </rPr>
      <t>Lab. Diseño PC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</si>
  <si>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M211</t>
    </r>
  </si>
  <si>
    <r>
      <t xml:space="preserve">Dirección de Proyectos I - </t>
    </r>
    <r>
      <rPr>
        <b/>
        <sz val="14"/>
        <color theme="1"/>
        <rFont val="Arial"/>
        <family val="2"/>
      </rPr>
      <t>M211</t>
    </r>
  </si>
  <si>
    <r>
      <t xml:space="preserve">Gestión de La Seguridad Informática - </t>
    </r>
    <r>
      <rPr>
        <b/>
        <sz val="14"/>
        <color theme="1"/>
        <rFont val="Arial"/>
        <family val="2"/>
      </rPr>
      <t>Lab. Info. Básica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</si>
  <si>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M210</t>
    </r>
  </si>
  <si>
    <r>
      <t xml:space="preserve">Dirección de Proyectos I - </t>
    </r>
    <r>
      <rPr>
        <b/>
        <sz val="14"/>
        <color theme="1"/>
        <rFont val="Arial"/>
        <family val="2"/>
      </rPr>
      <t>M210</t>
    </r>
  </si>
  <si>
    <r>
      <t xml:space="preserve">Ilustración Digital. - </t>
    </r>
    <r>
      <rPr>
        <b/>
        <sz val="14"/>
        <color theme="1"/>
        <rFont val="Arial"/>
        <family val="2"/>
      </rPr>
      <t>Lab. Info. Básica</t>
    </r>
  </si>
  <si>
    <r>
      <t xml:space="preserve">Habilidades Socioemocionales y Manejo de Conflictos. - </t>
    </r>
    <r>
      <rPr>
        <b/>
        <sz val="14"/>
        <color theme="1"/>
        <rFont val="Arial"/>
        <family val="2"/>
      </rPr>
      <t>M206</t>
    </r>
  </si>
  <si>
    <r>
      <t xml:space="preserve">Mercadotecnia. - </t>
    </r>
    <r>
      <rPr>
        <b/>
        <sz val="14"/>
        <color theme="1"/>
        <rFont val="Arial"/>
        <family val="2"/>
      </rPr>
      <t>M206</t>
    </r>
  </si>
  <si>
    <r>
      <t xml:space="preserve">Representación Geométrica. - </t>
    </r>
    <r>
      <rPr>
        <b/>
        <sz val="14"/>
        <color theme="1"/>
        <rFont val="Arial"/>
        <family val="2"/>
      </rPr>
      <t>M204</t>
    </r>
  </si>
  <si>
    <r>
      <t>Geometría Descriptiva. -</t>
    </r>
    <r>
      <rPr>
        <b/>
        <sz val="14"/>
        <color theme="1"/>
        <rFont val="Arial"/>
        <family val="2"/>
      </rPr>
      <t xml:space="preserve"> Lab. Info. Básica</t>
    </r>
  </si>
  <si>
    <r>
      <t xml:space="preserve">Geometría Descriptiva. </t>
    </r>
    <r>
      <rPr>
        <b/>
        <sz val="14"/>
        <color theme="1"/>
        <rFont val="Arial"/>
        <family val="2"/>
      </rPr>
      <t>- Lab. Info. Básica</t>
    </r>
  </si>
  <si>
    <r>
      <t>Ilustración Digital. -</t>
    </r>
    <r>
      <rPr>
        <b/>
        <sz val="14"/>
        <color theme="1"/>
        <rFont val="Arial"/>
        <family val="2"/>
      </rPr>
      <t xml:space="preserve"> Lab. Info. Básica</t>
    </r>
  </si>
  <si>
    <r>
      <t xml:space="preserve">Geometría Descriptiva. - </t>
    </r>
    <r>
      <rPr>
        <b/>
        <sz val="14"/>
        <color theme="1"/>
        <rFont val="Arial"/>
        <family val="2"/>
      </rPr>
      <t>M207</t>
    </r>
  </si>
  <si>
    <r>
      <t xml:space="preserve">Representación Geométrica. - </t>
    </r>
    <r>
      <rPr>
        <b/>
        <sz val="14"/>
        <color theme="1"/>
        <rFont val="Arial"/>
        <family val="2"/>
      </rPr>
      <t>M207</t>
    </r>
  </si>
  <si>
    <r>
      <t>Modelado Manual. -</t>
    </r>
    <r>
      <rPr>
        <b/>
        <sz val="14"/>
        <color theme="1"/>
        <rFont val="Arial"/>
        <family val="2"/>
      </rPr>
      <t xml:space="preserve"> M207</t>
    </r>
  </si>
  <si>
    <r>
      <t xml:space="preserve">Habilidades Socioemocionales y Manejo de Conflictos. - </t>
    </r>
    <r>
      <rPr>
        <b/>
        <sz val="14"/>
        <color theme="1"/>
        <rFont val="Arial"/>
        <family val="2"/>
      </rPr>
      <t>M207</t>
    </r>
  </si>
  <si>
    <t>Tutoría II. - M207</t>
  </si>
  <si>
    <r>
      <t xml:space="preserve">Metodología de Diseño - </t>
    </r>
    <r>
      <rPr>
        <b/>
        <sz val="14"/>
        <color theme="1"/>
        <rFont val="Arial"/>
        <family val="2"/>
      </rPr>
      <t>M211</t>
    </r>
  </si>
  <si>
    <r>
      <t xml:space="preserve">Emprendimiento Wadhwani </t>
    </r>
    <r>
      <rPr>
        <b/>
        <sz val="14"/>
        <color theme="1"/>
        <rFont val="Arial"/>
        <family val="2"/>
      </rPr>
      <t>NP</t>
    </r>
  </si>
  <si>
    <t>Emprendimiento Wadhwani</t>
  </si>
  <si>
    <t>DE LA CRUZ PERCASTRE MARTHA</t>
  </si>
  <si>
    <t>RODRÍGUEZ RIVERA NAYELI BERENICE</t>
  </si>
  <si>
    <r>
      <t xml:space="preserve">Empleabilidad Wadhwani </t>
    </r>
    <r>
      <rPr>
        <b/>
        <sz val="14"/>
        <color theme="1"/>
        <rFont val="Arial"/>
        <family val="2"/>
      </rPr>
      <t>NP</t>
    </r>
  </si>
  <si>
    <t xml:space="preserve">Empleabilidad Wadhwani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</si>
</sst>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11"/>
      <color rgb="FF404040"/>
      <name val="Arial"/>
      <family val="2"/>
    </font>
    <font>
      <b/>
      <sz val="8"/>
      <color theme="1"/>
      <name val="Arial Narrow"/>
      <family val="2"/>
    </font>
    <font>
      <sz val="11"/>
      <color rgb="FF000000"/>
      <name val="Aptos Narrow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0" fillId="0" borderId="9" xfId="0" applyFont="1" applyBorder="1" applyAlignment="1">
      <alignment horizontal="left" vertical="center"/>
    </xf>
    <xf numFmtId="0" fontId="11" fillId="0" borderId="0" xfId="0" applyFont="1"/>
    <xf numFmtId="0" fontId="16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1" fillId="0" borderId="0" xfId="0" applyFont="1"/>
    <xf numFmtId="0" fontId="3" fillId="2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8" fontId="10" fillId="0" borderId="2" xfId="0" applyNumberFormat="1" applyFont="1" applyBorder="1" applyAlignment="1">
      <alignment horizontal="center" vertical="center" wrapText="1"/>
    </xf>
    <xf numFmtId="18" fontId="10" fillId="0" borderId="10" xfId="0" applyNumberFormat="1" applyFont="1" applyBorder="1" applyAlignment="1">
      <alignment horizontal="center" vertical="center" wrapText="1"/>
    </xf>
    <xf numFmtId="0" fontId="13" fillId="0" borderId="0" xfId="0" applyFont="1"/>
    <xf numFmtId="0" fontId="5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shrinkToFit="1"/>
    </xf>
    <xf numFmtId="0" fontId="14" fillId="0" borderId="10" xfId="0" applyFont="1" applyBorder="1" applyAlignment="1">
      <alignment horizontal="left" vertical="center" wrapText="1"/>
    </xf>
    <xf numFmtId="0" fontId="7" fillId="0" borderId="11" xfId="0" applyFont="1" applyBorder="1"/>
    <xf numFmtId="0" fontId="7" fillId="0" borderId="12" xfId="0" applyFont="1" applyBorder="1"/>
    <xf numFmtId="0" fontId="5" fillId="0" borderId="10" xfId="0" applyFont="1" applyBorder="1" applyAlignment="1">
      <alignment horizontal="left" wrapText="1"/>
    </xf>
    <xf numFmtId="0" fontId="6" fillId="0" borderId="2" xfId="0" applyFont="1" applyBorder="1" applyAlignment="1">
      <alignment horizontal="left" vertical="center" wrapText="1"/>
    </xf>
    <xf numFmtId="0" fontId="7" fillId="0" borderId="3" xfId="0" applyFont="1" applyBorder="1"/>
    <xf numFmtId="0" fontId="14" fillId="0" borderId="1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7" fillId="0" borderId="4" xfId="0" applyFont="1" applyBorder="1"/>
    <xf numFmtId="0" fontId="8" fillId="0" borderId="5" xfId="0" applyFont="1" applyBorder="1" applyAlignment="1">
      <alignment horizontal="center" vertical="top" wrapText="1"/>
    </xf>
    <xf numFmtId="0" fontId="7" fillId="0" borderId="6" xfId="0" applyFont="1" applyBorder="1"/>
    <xf numFmtId="0" fontId="7" fillId="0" borderId="7" xfId="0" applyFont="1" applyBorder="1"/>
    <xf numFmtId="0" fontId="12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 shrinkToFit="1"/>
    </xf>
    <xf numFmtId="0" fontId="24" fillId="0" borderId="2" xfId="0" applyFont="1" applyBorder="1" applyAlignment="1">
      <alignment horizontal="left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FFCC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788E8A84-262C-47AF-AD01-6CC6FC2B68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43286230-AEBA-464B-B296-2C505F351D7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48550" y="0"/>
          <a:ext cx="933450" cy="5715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0</xdr:row>
      <xdr:rowOff>0</xdr:rowOff>
    </xdr:from>
    <xdr:ext cx="933450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92D050"/>
    <pageSetUpPr fitToPage="1"/>
  </sheetPr>
  <dimension ref="A1:G1000"/>
  <sheetViews>
    <sheetView view="pageBreakPreview" topLeftCell="A15" zoomScaleNormal="100" zoomScaleSheetLayoutView="100" workbookViewId="0">
      <selection activeCell="B13" sqref="B13:B14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3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6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8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88" x14ac:dyDescent="0.35">
      <c r="A13" s="18" t="s">
        <v>16</v>
      </c>
      <c r="B13" s="16" t="s">
        <v>491</v>
      </c>
      <c r="C13" s="16" t="s">
        <v>478</v>
      </c>
      <c r="D13" s="16" t="s">
        <v>478</v>
      </c>
      <c r="E13" s="16" t="s">
        <v>478</v>
      </c>
      <c r="F13" s="14" t="s">
        <v>19</v>
      </c>
      <c r="G13" s="16"/>
    </row>
    <row r="14" spans="1:7" ht="88" x14ac:dyDescent="0.35">
      <c r="A14" s="18" t="s">
        <v>20</v>
      </c>
      <c r="B14" s="16" t="s">
        <v>491</v>
      </c>
      <c r="C14" s="16" t="s">
        <v>478</v>
      </c>
      <c r="D14" s="16" t="s">
        <v>478</v>
      </c>
      <c r="E14" s="16" t="s">
        <v>478</v>
      </c>
      <c r="F14" s="14" t="s">
        <v>19</v>
      </c>
      <c r="G14" s="16"/>
    </row>
    <row r="15" spans="1:7" ht="88" x14ac:dyDescent="0.35">
      <c r="A15" s="18" t="s">
        <v>21</v>
      </c>
      <c r="B15" s="15" t="s">
        <v>492</v>
      </c>
      <c r="C15" s="16" t="s">
        <v>494</v>
      </c>
      <c r="D15" s="16" t="s">
        <v>494</v>
      </c>
      <c r="E15" s="16" t="s">
        <v>491</v>
      </c>
      <c r="F15" s="16" t="s">
        <v>491</v>
      </c>
      <c r="G15" s="16"/>
    </row>
    <row r="16" spans="1:7" ht="31" x14ac:dyDescent="0.35">
      <c r="A16" s="18" t="s">
        <v>24</v>
      </c>
      <c r="B16" s="13" t="s">
        <v>25</v>
      </c>
      <c r="C16" s="13" t="s">
        <v>25</v>
      </c>
      <c r="D16" s="13" t="s">
        <v>25</v>
      </c>
      <c r="E16" s="13" t="s">
        <v>25</v>
      </c>
      <c r="F16" s="13" t="s">
        <v>25</v>
      </c>
      <c r="G16" s="16"/>
    </row>
    <row r="17" spans="1:7" ht="70.5" x14ac:dyDescent="0.35">
      <c r="A17" s="18" t="s">
        <v>26</v>
      </c>
      <c r="B17" s="16" t="s">
        <v>493</v>
      </c>
      <c r="C17" s="16" t="s">
        <v>496</v>
      </c>
      <c r="D17" s="16" t="s">
        <v>493</v>
      </c>
      <c r="E17" s="16" t="s">
        <v>493</v>
      </c>
      <c r="F17" s="16" t="s">
        <v>493</v>
      </c>
      <c r="G17" s="16"/>
    </row>
    <row r="18" spans="1:7" ht="70.5" x14ac:dyDescent="0.35">
      <c r="A18" s="18" t="s">
        <v>29</v>
      </c>
      <c r="B18" s="16" t="s">
        <v>494</v>
      </c>
      <c r="C18" s="16" t="s">
        <v>496</v>
      </c>
      <c r="D18" s="16" t="s">
        <v>479</v>
      </c>
      <c r="E18" s="16" t="s">
        <v>493</v>
      </c>
      <c r="F18" s="16" t="s">
        <v>479</v>
      </c>
      <c r="G18" s="16"/>
    </row>
    <row r="19" spans="1:7" ht="70.5" x14ac:dyDescent="0.35">
      <c r="A19" s="18" t="s">
        <v>31</v>
      </c>
      <c r="B19" s="16" t="s">
        <v>494</v>
      </c>
      <c r="C19" s="16" t="s">
        <v>496</v>
      </c>
      <c r="D19" s="16" t="s">
        <v>479</v>
      </c>
      <c r="E19" s="16" t="s">
        <v>497</v>
      </c>
      <c r="F19" s="16" t="s">
        <v>479</v>
      </c>
      <c r="G19" s="16"/>
    </row>
    <row r="20" spans="1:7" ht="53" x14ac:dyDescent="0.35">
      <c r="A20" s="18" t="s">
        <v>32</v>
      </c>
      <c r="B20" s="16"/>
      <c r="C20" s="16"/>
      <c r="D20" s="16" t="s">
        <v>479</v>
      </c>
      <c r="E20" s="16" t="s">
        <v>494</v>
      </c>
      <c r="F20" s="16" t="s">
        <v>494</v>
      </c>
      <c r="G20" s="16"/>
    </row>
    <row r="21" spans="1:7" ht="31" x14ac:dyDescent="0.35">
      <c r="A21" s="18" t="s">
        <v>33</v>
      </c>
      <c r="B21" s="16"/>
      <c r="C21" s="16"/>
      <c r="D21" s="16"/>
      <c r="E21" s="16"/>
      <c r="F21" s="16"/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47</v>
      </c>
      <c r="F31" s="36"/>
      <c r="G31" s="37"/>
    </row>
    <row r="32" spans="1:7" ht="14.25" customHeight="1" x14ac:dyDescent="0.35">
      <c r="A32" s="35" t="s">
        <v>23</v>
      </c>
      <c r="B32" s="36"/>
      <c r="C32" s="37"/>
      <c r="D32" s="22">
        <f>VLOOKUP(A32, Materias!A2:C180, 3, FALSE)</f>
        <v>6</v>
      </c>
      <c r="E32" s="41" t="s">
        <v>48</v>
      </c>
      <c r="F32" s="36"/>
      <c r="G32" s="37"/>
    </row>
    <row r="33" spans="1:7" ht="14.25" customHeight="1" x14ac:dyDescent="0.35">
      <c r="A33" s="35" t="s">
        <v>18</v>
      </c>
      <c r="B33" s="36"/>
      <c r="C33" s="37"/>
      <c r="D33" s="22">
        <f>VLOOKUP(A33, Materias!A2:C180, 3, FALSE)</f>
        <v>6</v>
      </c>
      <c r="E33" s="41" t="s">
        <v>49</v>
      </c>
      <c r="F33" s="36"/>
      <c r="G33" s="37"/>
    </row>
    <row r="34" spans="1:7" ht="14.25" customHeight="1" x14ac:dyDescent="0.35">
      <c r="A34" s="35" t="s">
        <v>30</v>
      </c>
      <c r="B34" s="36"/>
      <c r="C34" s="37"/>
      <c r="D34" s="22">
        <f>VLOOKUP(A34, Materias!A2:C180, 3, FALSE)</f>
        <v>5</v>
      </c>
      <c r="E34" s="41" t="s">
        <v>50</v>
      </c>
      <c r="F34" s="36"/>
      <c r="G34" s="37"/>
    </row>
    <row r="35" spans="1:7" ht="14.25" customHeight="1" x14ac:dyDescent="0.35">
      <c r="A35" s="35" t="s">
        <v>27</v>
      </c>
      <c r="B35" s="36"/>
      <c r="C35" s="37"/>
      <c r="D35" s="22">
        <f>VLOOKUP(A35, Materias!A2:C180, 3, FALSE)</f>
        <v>5</v>
      </c>
      <c r="E35" s="41" t="s">
        <v>51</v>
      </c>
      <c r="F35" s="36"/>
      <c r="G35" s="37"/>
    </row>
    <row r="36" spans="1:7" ht="14.25" customHeight="1" x14ac:dyDescent="0.35">
      <c r="A36" s="35" t="s">
        <v>28</v>
      </c>
      <c r="B36" s="36"/>
      <c r="C36" s="37"/>
      <c r="D36" s="22">
        <f>VLOOKUP(A36, Materias!A3:C181, 3, FALSE)</f>
        <v>4</v>
      </c>
      <c r="E36" s="41" t="s">
        <v>52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Materias!A4:C182, 3, FALSE)</f>
        <v>1</v>
      </c>
      <c r="E37" s="41" t="s">
        <v>48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Materias!A2:C180, 3, FALSE)</f>
        <v>2</v>
      </c>
      <c r="E38" s="41" t="s">
        <v>54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38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56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42:G42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8:G38"/>
    <mergeCell ref="E39:G39"/>
    <mergeCell ref="A41:G41"/>
    <mergeCell ref="A35:C35"/>
    <mergeCell ref="A36:C36"/>
    <mergeCell ref="A37:C37"/>
    <mergeCell ref="A38:C38"/>
    <mergeCell ref="A39:C39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0" xr:uid="{00000000-0002-0000-0000-000001000000}">
      <formula1>#REF!</formula1>
    </dataValidation>
  </dataValidations>
  <printOptions horizontalCentered="1"/>
  <pageMargins left="0.25" right="0.25" top="0.75" bottom="0.75" header="0" footer="0"/>
  <pageSetup scale="5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Docentes!$B$2:$B$304</xm:f>
          </x14:formula1>
          <xm:sqref>E30:E38</xm:sqref>
        </x14:dataValidation>
        <x14:dataValidation type="list" allowBlank="1" showErrorMessage="1" xr:uid="{00000000-0002-0000-0000-000002000000}">
          <x14:formula1>
            <xm:f>Materias!$A$11:$A$19</xm:f>
          </x14:formula1>
          <xm:sqref>A30:A38</xm:sqref>
        </x14:dataValidation>
        <x14:dataValidation type="list" allowBlank="1" xr:uid="{00000000-0002-0000-0000-000003000000}">
          <x14:formula1>
            <xm:f>Materias!$A$11:$A$19</xm:f>
          </x14:formula1>
          <xm:sqref>B13:G27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92D050"/>
    <pageSetUpPr fitToPage="1"/>
  </sheetPr>
  <dimension ref="A1:G1000"/>
  <sheetViews>
    <sheetView view="pageBreakPreview" topLeftCell="A6" zoomScale="70" zoomScaleNormal="50" zoomScaleSheetLayoutView="70" workbookViewId="0">
      <selection activeCell="G20" sqref="G20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58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59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60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4" x14ac:dyDescent="0.35">
      <c r="A13" s="18" t="s">
        <v>16</v>
      </c>
      <c r="B13" s="16" t="s">
        <v>480</v>
      </c>
      <c r="C13" s="16" t="s">
        <v>480</v>
      </c>
      <c r="D13" s="16" t="s">
        <v>480</v>
      </c>
      <c r="E13" s="16" t="s">
        <v>481</v>
      </c>
      <c r="F13" s="14" t="s">
        <v>19</v>
      </c>
      <c r="G13" s="16"/>
    </row>
    <row r="14" spans="1:7" ht="54" x14ac:dyDescent="0.35">
      <c r="A14" s="18" t="s">
        <v>20</v>
      </c>
      <c r="B14" s="16" t="s">
        <v>480</v>
      </c>
      <c r="C14" s="16" t="s">
        <v>480</v>
      </c>
      <c r="D14" s="16" t="s">
        <v>490</v>
      </c>
      <c r="E14" s="16" t="s">
        <v>481</v>
      </c>
      <c r="F14" s="14" t="s">
        <v>19</v>
      </c>
      <c r="G14" s="16"/>
    </row>
    <row r="15" spans="1:7" ht="88" x14ac:dyDescent="0.35">
      <c r="A15" s="18" t="s">
        <v>21</v>
      </c>
      <c r="B15" s="16" t="s">
        <v>483</v>
      </c>
      <c r="C15" s="16" t="s">
        <v>482</v>
      </c>
      <c r="D15" s="16" t="s">
        <v>483</v>
      </c>
      <c r="E15" s="16" t="s">
        <v>482</v>
      </c>
      <c r="F15" s="16" t="s">
        <v>484</v>
      </c>
      <c r="G15" s="16"/>
    </row>
    <row r="16" spans="1:7" ht="88" x14ac:dyDescent="0.35">
      <c r="A16" s="18" t="s">
        <v>24</v>
      </c>
      <c r="B16" s="16" t="s">
        <v>483</v>
      </c>
      <c r="C16" s="16" t="s">
        <v>482</v>
      </c>
      <c r="D16" s="16" t="s">
        <v>483</v>
      </c>
      <c r="E16" s="16" t="s">
        <v>482</v>
      </c>
      <c r="F16" s="16" t="s">
        <v>484</v>
      </c>
      <c r="G16" s="16"/>
    </row>
    <row r="17" spans="1:7" ht="31" x14ac:dyDescent="0.35">
      <c r="A17" s="18" t="s">
        <v>26</v>
      </c>
      <c r="B17" s="13" t="s">
        <v>25</v>
      </c>
      <c r="C17" s="13" t="s">
        <v>25</v>
      </c>
      <c r="D17" s="13" t="s">
        <v>25</v>
      </c>
      <c r="E17" s="13" t="s">
        <v>25</v>
      </c>
      <c r="F17" s="15" t="s">
        <v>25</v>
      </c>
      <c r="G17" s="16"/>
    </row>
    <row r="18" spans="1:7" ht="53" x14ac:dyDescent="0.35">
      <c r="A18" s="18" t="s">
        <v>29</v>
      </c>
      <c r="B18" s="16" t="s">
        <v>481</v>
      </c>
      <c r="C18" s="16" t="s">
        <v>484</v>
      </c>
      <c r="D18" s="16" t="s">
        <v>484</v>
      </c>
      <c r="E18" s="16" t="s">
        <v>484</v>
      </c>
      <c r="F18" s="16" t="s">
        <v>481</v>
      </c>
      <c r="G18" s="16"/>
    </row>
    <row r="19" spans="1:7" ht="53" x14ac:dyDescent="0.35">
      <c r="A19" s="18" t="s">
        <v>31</v>
      </c>
      <c r="B19" s="16" t="s">
        <v>481</v>
      </c>
      <c r="C19" s="16" t="s">
        <v>485</v>
      </c>
      <c r="D19" s="16" t="s">
        <v>485</v>
      </c>
      <c r="E19" s="16" t="s">
        <v>484</v>
      </c>
      <c r="F19" s="16"/>
      <c r="G19" s="16"/>
    </row>
    <row r="20" spans="1:7" ht="53" x14ac:dyDescent="0.35">
      <c r="A20" s="18" t="s">
        <v>32</v>
      </c>
      <c r="B20" s="16" t="s">
        <v>485</v>
      </c>
      <c r="C20" s="16" t="s">
        <v>485</v>
      </c>
      <c r="D20" s="16" t="s">
        <v>485</v>
      </c>
      <c r="E20" s="16" t="s">
        <v>486</v>
      </c>
      <c r="F20" s="16"/>
      <c r="G20" s="16"/>
    </row>
    <row r="21" spans="1:7" ht="31" x14ac:dyDescent="0.35">
      <c r="A21" s="18" t="s">
        <v>33</v>
      </c>
      <c r="B21" s="16"/>
      <c r="C21" s="16"/>
      <c r="D21" s="16"/>
      <c r="E21" s="16"/>
      <c r="F21" s="16"/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 t="s">
        <v>549</v>
      </c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47</v>
      </c>
      <c r="F31" s="36"/>
      <c r="G31" s="37"/>
    </row>
    <row r="32" spans="1:7" ht="14.25" customHeight="1" x14ac:dyDescent="0.35">
      <c r="A32" s="35" t="s">
        <v>23</v>
      </c>
      <c r="B32" s="36"/>
      <c r="C32" s="37"/>
      <c r="D32" s="22">
        <f>VLOOKUP(A32, Materias!A2:C180, 3, FALSE)</f>
        <v>6</v>
      </c>
      <c r="E32" s="41" t="s">
        <v>48</v>
      </c>
      <c r="F32" s="36"/>
      <c r="G32" s="37"/>
    </row>
    <row r="33" spans="1:7" ht="14.25" customHeight="1" x14ac:dyDescent="0.35">
      <c r="A33" s="35" t="s">
        <v>61</v>
      </c>
      <c r="B33" s="36"/>
      <c r="C33" s="37"/>
      <c r="D33" s="22">
        <f>VLOOKUP(A33, Materias!A2:C180, 3, FALSE)</f>
        <v>5</v>
      </c>
      <c r="E33" s="41" t="s">
        <v>64</v>
      </c>
      <c r="F33" s="36"/>
      <c r="G33" s="37"/>
    </row>
    <row r="34" spans="1:7" ht="14.25" customHeight="1" x14ac:dyDescent="0.35">
      <c r="A34" s="35" t="s">
        <v>30</v>
      </c>
      <c r="B34" s="36"/>
      <c r="C34" s="37"/>
      <c r="D34" s="22">
        <f>VLOOKUP(A34, Materias!A2:C180, 3, FALSE)</f>
        <v>5</v>
      </c>
      <c r="E34" s="41" t="s">
        <v>65</v>
      </c>
      <c r="F34" s="36"/>
      <c r="G34" s="37"/>
    </row>
    <row r="35" spans="1:7" ht="14.25" customHeight="1" x14ac:dyDescent="0.35">
      <c r="A35" s="35" t="s">
        <v>63</v>
      </c>
      <c r="B35" s="36"/>
      <c r="C35" s="37"/>
      <c r="D35" s="22">
        <f>VLOOKUP(A35, Materias!A2:C180, 3, FALSE)</f>
        <v>5</v>
      </c>
      <c r="E35" s="41" t="s">
        <v>66</v>
      </c>
      <c r="F35" s="36"/>
      <c r="G35" s="37"/>
    </row>
    <row r="36" spans="1:7" ht="14.25" customHeight="1" x14ac:dyDescent="0.35">
      <c r="A36" s="35" t="s">
        <v>62</v>
      </c>
      <c r="B36" s="36"/>
      <c r="C36" s="37"/>
      <c r="D36" s="22">
        <f>VLOOKUP(A36, Materias!A2:C180, 3, FALSE)</f>
        <v>5</v>
      </c>
      <c r="E36" s="41" t="s">
        <v>67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67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Materias!A2:C180, 3, FALSE)</f>
        <v>2</v>
      </c>
      <c r="E38" s="41" t="s">
        <v>54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38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56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42:G42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8:G38"/>
    <mergeCell ref="E39:G39"/>
    <mergeCell ref="A41:G41"/>
    <mergeCell ref="A35:C35"/>
    <mergeCell ref="A36:C36"/>
    <mergeCell ref="A37:C37"/>
    <mergeCell ref="A38:C38"/>
    <mergeCell ref="A39:C39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0" xr:uid="{00000000-0002-0000-0100-000002000000}">
      <formula1>#REF!</formula1>
    </dataValidation>
  </dataValidations>
  <printOptions horizontalCentered="1"/>
  <pageMargins left="0.25" right="0.25" top="0.75" bottom="0.75" header="0" footer="0"/>
  <pageSetup scale="6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Materias!$A$94:$A$102</xm:f>
          </x14:formula1>
          <xm:sqref>A30:A38</xm:sqref>
        </x14:dataValidation>
        <x14:dataValidation type="list" allowBlank="1" xr:uid="{00000000-0002-0000-0100-000001000000}">
          <x14:formula1>
            <xm:f>Docentes!$B$2:$B$304</xm:f>
          </x14:formula1>
          <xm:sqref>E30:E38</xm:sqref>
        </x14:dataValidation>
        <x14:dataValidation type="list" allowBlank="1" xr:uid="{00000000-0002-0000-0100-000003000000}">
          <x14:formula1>
            <xm:f>Materias!$A$94:$A$102</xm:f>
          </x14:formula1>
          <xm:sqref>B13:G27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  <pageSetUpPr fitToPage="1"/>
  </sheetPr>
  <dimension ref="A1:G1000"/>
  <sheetViews>
    <sheetView view="pageBreakPreview" topLeftCell="A5" zoomScale="70" zoomScaleNormal="50" zoomScaleSheetLayoutView="70" workbookViewId="0">
      <selection activeCell="F13" sqref="F13:F14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58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68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69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88" x14ac:dyDescent="0.35">
      <c r="A13" s="18" t="s">
        <v>16</v>
      </c>
      <c r="B13" s="16" t="s">
        <v>498</v>
      </c>
      <c r="C13" s="16" t="s">
        <v>498</v>
      </c>
      <c r="D13" s="16" t="s">
        <v>499</v>
      </c>
      <c r="E13" s="16" t="s">
        <v>499</v>
      </c>
      <c r="F13" s="14" t="s">
        <v>19</v>
      </c>
      <c r="G13" s="16"/>
    </row>
    <row r="14" spans="1:7" ht="88" x14ac:dyDescent="0.35">
      <c r="A14" s="18" t="s">
        <v>20</v>
      </c>
      <c r="B14" s="16" t="s">
        <v>498</v>
      </c>
      <c r="C14" s="16" t="s">
        <v>498</v>
      </c>
      <c r="D14" s="16" t="s">
        <v>499</v>
      </c>
      <c r="E14" s="16" t="s">
        <v>499</v>
      </c>
      <c r="F14" s="14" t="s">
        <v>19</v>
      </c>
      <c r="G14" s="16"/>
    </row>
    <row r="15" spans="1:7" ht="53" x14ac:dyDescent="0.35">
      <c r="A15" s="18" t="s">
        <v>21</v>
      </c>
      <c r="B15" s="16" t="s">
        <v>487</v>
      </c>
      <c r="C15" s="16" t="s">
        <v>500</v>
      </c>
      <c r="D15" s="16" t="s">
        <v>488</v>
      </c>
      <c r="E15" s="16" t="s">
        <v>498</v>
      </c>
      <c r="F15" s="16" t="s">
        <v>488</v>
      </c>
      <c r="G15" s="16"/>
    </row>
    <row r="16" spans="1:7" ht="53" x14ac:dyDescent="0.35">
      <c r="A16" s="18" t="s">
        <v>24</v>
      </c>
      <c r="B16" s="16" t="s">
        <v>487</v>
      </c>
      <c r="C16" s="16" t="s">
        <v>500</v>
      </c>
      <c r="D16" s="16" t="s">
        <v>488</v>
      </c>
      <c r="E16" s="16" t="s">
        <v>498</v>
      </c>
      <c r="F16" s="16" t="s">
        <v>488</v>
      </c>
      <c r="G16" s="16"/>
    </row>
    <row r="17" spans="1:7" ht="31" x14ac:dyDescent="0.35">
      <c r="A17" s="18" t="s">
        <v>26</v>
      </c>
      <c r="B17" s="13" t="s">
        <v>25</v>
      </c>
      <c r="C17" s="13" t="s">
        <v>25</v>
      </c>
      <c r="D17" s="13" t="s">
        <v>25</v>
      </c>
      <c r="E17" s="13" t="s">
        <v>25</v>
      </c>
      <c r="F17" s="15" t="s">
        <v>25</v>
      </c>
      <c r="G17" s="16"/>
    </row>
    <row r="18" spans="1:7" ht="53" x14ac:dyDescent="0.35">
      <c r="A18" s="18" t="s">
        <v>29</v>
      </c>
      <c r="B18" s="16" t="s">
        <v>500</v>
      </c>
      <c r="C18" s="16"/>
      <c r="D18" s="16" t="s">
        <v>487</v>
      </c>
      <c r="E18" s="16" t="s">
        <v>488</v>
      </c>
      <c r="F18" s="16" t="s">
        <v>500</v>
      </c>
      <c r="G18" s="16"/>
    </row>
    <row r="19" spans="1:7" ht="53" x14ac:dyDescent="0.35">
      <c r="A19" s="18" t="s">
        <v>31</v>
      </c>
      <c r="B19" s="16" t="s">
        <v>500</v>
      </c>
      <c r="C19" s="16"/>
      <c r="D19" s="16" t="s">
        <v>487</v>
      </c>
      <c r="E19" s="16" t="s">
        <v>489</v>
      </c>
      <c r="F19" s="16" t="s">
        <v>489</v>
      </c>
      <c r="G19" s="16"/>
    </row>
    <row r="20" spans="1:7" ht="53" x14ac:dyDescent="0.35">
      <c r="A20" s="18" t="s">
        <v>32</v>
      </c>
      <c r="B20" s="15" t="s">
        <v>495</v>
      </c>
      <c r="C20" s="16"/>
      <c r="D20" s="16" t="s">
        <v>487</v>
      </c>
      <c r="E20" s="16" t="s">
        <v>489</v>
      </c>
      <c r="F20" s="16" t="s">
        <v>489</v>
      </c>
      <c r="G20" s="16"/>
    </row>
    <row r="21" spans="1:7" ht="53" x14ac:dyDescent="0.35">
      <c r="A21" s="18" t="s">
        <v>33</v>
      </c>
      <c r="B21" s="16"/>
      <c r="C21" s="16"/>
      <c r="D21" s="16"/>
      <c r="E21" s="16"/>
      <c r="F21" s="16" t="s">
        <v>489</v>
      </c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 t="s">
        <v>549</v>
      </c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47</v>
      </c>
      <c r="F31" s="36"/>
      <c r="G31" s="37"/>
    </row>
    <row r="32" spans="1:7" ht="14.25" customHeight="1" x14ac:dyDescent="0.35">
      <c r="A32" s="35" t="s">
        <v>23</v>
      </c>
      <c r="B32" s="36"/>
      <c r="C32" s="37"/>
      <c r="D32" s="22">
        <f>VLOOKUP(A32, Materias!A2:C180, 3, FALSE)</f>
        <v>6</v>
      </c>
      <c r="E32" s="41" t="s">
        <v>48</v>
      </c>
      <c r="F32" s="36"/>
      <c r="G32" s="37"/>
    </row>
    <row r="33" spans="1:7" ht="14.25" customHeight="1" x14ac:dyDescent="0.35">
      <c r="A33" s="35" t="s">
        <v>61</v>
      </c>
      <c r="B33" s="36"/>
      <c r="C33" s="37"/>
      <c r="D33" s="22">
        <f>VLOOKUP(A33, Materias!A2:C180, 3, FALSE)</f>
        <v>5</v>
      </c>
      <c r="E33" s="41" t="s">
        <v>64</v>
      </c>
      <c r="F33" s="36"/>
      <c r="G33" s="37"/>
    </row>
    <row r="34" spans="1:7" ht="14.25" customHeight="1" x14ac:dyDescent="0.35">
      <c r="A34" s="35" t="s">
        <v>30</v>
      </c>
      <c r="B34" s="36"/>
      <c r="C34" s="37"/>
      <c r="D34" s="22">
        <f>VLOOKUP(A34, Materias!A2:C180, 3, FALSE)</f>
        <v>5</v>
      </c>
      <c r="E34" s="41" t="s">
        <v>65</v>
      </c>
      <c r="F34" s="36"/>
      <c r="G34" s="37"/>
    </row>
    <row r="35" spans="1:7" ht="14.25" customHeight="1" x14ac:dyDescent="0.35">
      <c r="A35" s="35" t="s">
        <v>63</v>
      </c>
      <c r="B35" s="36"/>
      <c r="C35" s="37"/>
      <c r="D35" s="22">
        <f>VLOOKUP(A35, Materias!A2:C180, 3, FALSE)</f>
        <v>5</v>
      </c>
      <c r="E35" s="41" t="s">
        <v>66</v>
      </c>
      <c r="F35" s="36"/>
      <c r="G35" s="37"/>
    </row>
    <row r="36" spans="1:7" ht="14.25" customHeight="1" x14ac:dyDescent="0.35">
      <c r="A36" s="35" t="s">
        <v>62</v>
      </c>
      <c r="B36" s="36"/>
      <c r="C36" s="37"/>
      <c r="D36" s="22">
        <f>VLOOKUP(A36, Materias!A2:C180, 3, FALSE)</f>
        <v>5</v>
      </c>
      <c r="E36" s="41" t="s">
        <v>67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65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Materias!A2:C180, 3, FALSE)</f>
        <v>2</v>
      </c>
      <c r="E38" s="41" t="s">
        <v>54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38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56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42:G42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8:G38"/>
    <mergeCell ref="E39:G39"/>
    <mergeCell ref="A41:G41"/>
    <mergeCell ref="A35:C35"/>
    <mergeCell ref="A36:C36"/>
    <mergeCell ref="A37:C37"/>
    <mergeCell ref="A38:C38"/>
    <mergeCell ref="A39:C39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0" xr:uid="{00000000-0002-0000-0200-000002000000}">
      <formula1>#REF!</formula1>
    </dataValidation>
  </dataValidations>
  <printOptions horizontalCentered="1"/>
  <pageMargins left="0.25" right="0.25" top="0.75" bottom="0.75" header="0" footer="0"/>
  <pageSetup scale="6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Materias!$A$94:$A$102</xm:f>
          </x14:formula1>
          <xm:sqref>A30:A38</xm:sqref>
        </x14:dataValidation>
        <x14:dataValidation type="list" allowBlank="1" xr:uid="{00000000-0002-0000-0200-000001000000}">
          <x14:formula1>
            <xm:f>Docentes!$B$2:$B$304</xm:f>
          </x14:formula1>
          <xm:sqref>E30:E38</xm:sqref>
        </x14:dataValidation>
        <x14:dataValidation type="list" allowBlank="1" xr:uid="{00000000-0002-0000-0200-000003000000}">
          <x14:formula1>
            <xm:f>Materias!$A$94:$A$102</xm:f>
          </x14:formula1>
          <xm:sqref>B13:G27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A1:G1000"/>
  <sheetViews>
    <sheetView view="pageBreakPreview" topLeftCell="A13" zoomScale="70" zoomScaleNormal="50" zoomScaleSheetLayoutView="70" workbookViewId="0">
      <selection activeCell="B17" sqref="B17:E17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70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71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72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3" x14ac:dyDescent="0.35">
      <c r="A13" s="18" t="s">
        <v>16</v>
      </c>
      <c r="B13" s="16" t="s">
        <v>501</v>
      </c>
      <c r="C13" s="16" t="s">
        <v>502</v>
      </c>
      <c r="D13" s="16" t="s">
        <v>502</v>
      </c>
      <c r="E13" s="16" t="s">
        <v>503</v>
      </c>
      <c r="F13" s="16" t="s">
        <v>504</v>
      </c>
      <c r="G13" s="16"/>
    </row>
    <row r="14" spans="1:7" ht="53" x14ac:dyDescent="0.35">
      <c r="A14" s="18" t="s">
        <v>20</v>
      </c>
      <c r="B14" s="16" t="s">
        <v>501</v>
      </c>
      <c r="C14" s="16" t="s">
        <v>502</v>
      </c>
      <c r="D14" s="16" t="s">
        <v>502</v>
      </c>
      <c r="E14" s="16" t="s">
        <v>503</v>
      </c>
      <c r="F14" s="16" t="s">
        <v>504</v>
      </c>
      <c r="G14" s="16"/>
    </row>
    <row r="15" spans="1:7" ht="53" x14ac:dyDescent="0.35">
      <c r="A15" s="18" t="s">
        <v>21</v>
      </c>
      <c r="B15" s="16" t="s">
        <v>502</v>
      </c>
      <c r="C15" s="16" t="s">
        <v>501</v>
      </c>
      <c r="D15" s="16" t="s">
        <v>505</v>
      </c>
      <c r="E15" s="16" t="s">
        <v>501</v>
      </c>
      <c r="F15" s="16" t="s">
        <v>503</v>
      </c>
      <c r="G15" s="16"/>
    </row>
    <row r="16" spans="1:7" ht="53" x14ac:dyDescent="0.35">
      <c r="A16" s="18" t="s">
        <v>24</v>
      </c>
      <c r="B16" s="16" t="s">
        <v>502</v>
      </c>
      <c r="C16" s="16" t="s">
        <v>501</v>
      </c>
      <c r="D16" s="16" t="s">
        <v>505</v>
      </c>
      <c r="E16" s="16" t="s">
        <v>501</v>
      </c>
      <c r="F16" s="16" t="s">
        <v>503</v>
      </c>
      <c r="G16" s="16"/>
    </row>
    <row r="17" spans="1:7" ht="35.5" x14ac:dyDescent="0.35">
      <c r="A17" s="18" t="s">
        <v>26</v>
      </c>
      <c r="B17" s="13" t="s">
        <v>78</v>
      </c>
      <c r="C17" s="13" t="s">
        <v>78</v>
      </c>
      <c r="D17" s="13" t="s">
        <v>78</v>
      </c>
      <c r="E17" s="13" t="s">
        <v>78</v>
      </c>
      <c r="F17" s="16" t="s">
        <v>503</v>
      </c>
      <c r="G17" s="16"/>
    </row>
    <row r="18" spans="1:7" ht="53" x14ac:dyDescent="0.35">
      <c r="A18" s="18" t="s">
        <v>29</v>
      </c>
      <c r="B18" s="16" t="s">
        <v>506</v>
      </c>
      <c r="C18" s="16" t="s">
        <v>505</v>
      </c>
      <c r="D18" s="16" t="s">
        <v>503</v>
      </c>
      <c r="E18" s="16" t="s">
        <v>505</v>
      </c>
      <c r="F18" s="16" t="s">
        <v>506</v>
      </c>
      <c r="G18" s="16"/>
    </row>
    <row r="19" spans="1:7" ht="53" x14ac:dyDescent="0.35">
      <c r="A19" s="18" t="s">
        <v>31</v>
      </c>
      <c r="B19" s="16" t="s">
        <v>506</v>
      </c>
      <c r="C19" s="16" t="s">
        <v>505</v>
      </c>
      <c r="D19" s="16"/>
      <c r="E19" s="16" t="s">
        <v>505</v>
      </c>
      <c r="F19" s="16" t="s">
        <v>506</v>
      </c>
      <c r="G19" s="16"/>
    </row>
    <row r="20" spans="1:7" ht="35.5" x14ac:dyDescent="0.35">
      <c r="A20" s="18" t="s">
        <v>32</v>
      </c>
      <c r="B20" s="16" t="s">
        <v>506</v>
      </c>
      <c r="C20" s="16"/>
      <c r="D20" s="16"/>
      <c r="E20" s="16"/>
      <c r="F20" s="16"/>
      <c r="G20" s="16"/>
    </row>
    <row r="21" spans="1:7" ht="31" x14ac:dyDescent="0.35">
      <c r="A21" s="18" t="s">
        <v>33</v>
      </c>
      <c r="B21" s="16"/>
      <c r="C21" s="16"/>
      <c r="D21" s="16"/>
      <c r="E21" s="16"/>
      <c r="F21" s="16"/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 t="s">
        <v>549</v>
      </c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73</v>
      </c>
      <c r="B30" s="36"/>
      <c r="C30" s="37"/>
      <c r="D30" s="22">
        <f>VLOOKUP(A30, Materias!A2:C180, 3, FALSE)</f>
        <v>6</v>
      </c>
      <c r="E30" s="41" t="s">
        <v>49</v>
      </c>
      <c r="F30" s="36"/>
      <c r="G30" s="37"/>
    </row>
    <row r="31" spans="1:7" ht="14.25" customHeight="1" x14ac:dyDescent="0.35">
      <c r="A31" s="35" t="s">
        <v>74</v>
      </c>
      <c r="B31" s="36"/>
      <c r="C31" s="37"/>
      <c r="D31" s="22">
        <f>VLOOKUP(A31, Materias!A2:C180, 3, FALSE)</f>
        <v>6</v>
      </c>
      <c r="E31" s="41" t="s">
        <v>64</v>
      </c>
      <c r="F31" s="36"/>
      <c r="G31" s="37"/>
    </row>
    <row r="32" spans="1:7" ht="14.25" customHeight="1" x14ac:dyDescent="0.35">
      <c r="A32" s="35" t="s">
        <v>77</v>
      </c>
      <c r="B32" s="36"/>
      <c r="C32" s="37"/>
      <c r="D32" s="22">
        <f>VLOOKUP(A32, Materias!A2:C180, 3, FALSE)</f>
        <v>6</v>
      </c>
      <c r="E32" s="41" t="s">
        <v>67</v>
      </c>
      <c r="F32" s="36"/>
      <c r="G32" s="37"/>
    </row>
    <row r="33" spans="1:7" ht="14.25" customHeight="1" x14ac:dyDescent="0.35">
      <c r="A33" s="35" t="s">
        <v>75</v>
      </c>
      <c r="B33" s="36"/>
      <c r="C33" s="37"/>
      <c r="D33" s="22">
        <f>VLOOKUP(A33, Materias!A2:C180, 3, FALSE)</f>
        <v>6</v>
      </c>
      <c r="E33" s="41" t="s">
        <v>65</v>
      </c>
      <c r="F33" s="36"/>
      <c r="G33" s="37"/>
    </row>
    <row r="34" spans="1:7" ht="14.25" customHeight="1" x14ac:dyDescent="0.35">
      <c r="A34" s="35" t="s">
        <v>76</v>
      </c>
      <c r="B34" s="36"/>
      <c r="C34" s="37"/>
      <c r="D34" s="22">
        <f>VLOOKUP(A34, Materias!A2:C180, 3, FALSE)</f>
        <v>2</v>
      </c>
      <c r="E34" s="41" t="s">
        <v>48</v>
      </c>
      <c r="F34" s="36"/>
      <c r="G34" s="37"/>
    </row>
    <row r="35" spans="1:7" ht="14.25" customHeight="1" x14ac:dyDescent="0.35">
      <c r="A35" s="35" t="s">
        <v>78</v>
      </c>
      <c r="B35" s="36"/>
      <c r="C35" s="37"/>
      <c r="D35" s="22">
        <f>VLOOKUP(A35, Materias!A2:C180, 3, FALSE)</f>
        <v>4</v>
      </c>
      <c r="E35" s="41" t="s">
        <v>46</v>
      </c>
      <c r="F35" s="36"/>
      <c r="G35" s="37"/>
    </row>
    <row r="36" spans="1:7" ht="14.25" customHeight="1" x14ac:dyDescent="0.35">
      <c r="A36" s="35" t="s">
        <v>79</v>
      </c>
      <c r="B36" s="36"/>
      <c r="C36" s="37"/>
      <c r="D36" s="22">
        <f>VLOOKUP(A36, Materias!A3:C181, 3, FALSE)</f>
        <v>5</v>
      </c>
      <c r="E36" s="41" t="s">
        <v>47</v>
      </c>
      <c r="F36" s="36"/>
      <c r="G36" s="37"/>
    </row>
    <row r="37" spans="1:7" ht="14.25" customHeight="1" x14ac:dyDescent="0.35">
      <c r="A37" s="38" t="s">
        <v>55</v>
      </c>
      <c r="B37" s="36"/>
      <c r="C37" s="37"/>
      <c r="D37" s="21">
        <f>SUM(D30:D36)</f>
        <v>35</v>
      </c>
      <c r="E37" s="51"/>
      <c r="F37" s="36"/>
      <c r="G37" s="37"/>
    </row>
    <row r="38" spans="1:7" ht="14.25" customHeight="1" x14ac:dyDescent="0.35">
      <c r="A38" s="23"/>
      <c r="B38" s="23"/>
      <c r="C38" s="23"/>
      <c r="D38" s="24"/>
      <c r="E38" s="25"/>
      <c r="F38" s="25"/>
      <c r="G38" s="25"/>
    </row>
    <row r="39" spans="1:7" ht="15" customHeight="1" x14ac:dyDescent="0.35">
      <c r="A39" s="52" t="s">
        <v>56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50" t="s">
        <v>57</v>
      </c>
      <c r="B40" s="30"/>
      <c r="C40" s="30"/>
      <c r="D40" s="30"/>
      <c r="E40" s="30"/>
      <c r="F40" s="30"/>
      <c r="G40" s="30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>
      <c r="A42" s="11"/>
      <c r="B42" s="11"/>
      <c r="C42" s="11"/>
      <c r="D42" s="11"/>
      <c r="E42" s="11"/>
      <c r="F42" s="8"/>
      <c r="G42" s="8"/>
    </row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0">
    <mergeCell ref="A39:G39"/>
    <mergeCell ref="A40:G40"/>
    <mergeCell ref="A32:C32"/>
    <mergeCell ref="E32:G32"/>
    <mergeCell ref="A33:C33"/>
    <mergeCell ref="E33:G33"/>
    <mergeCell ref="A34:C34"/>
    <mergeCell ref="E34:G34"/>
    <mergeCell ref="E35:G35"/>
    <mergeCell ref="A35:C35"/>
    <mergeCell ref="A36:C36"/>
    <mergeCell ref="A37:C37"/>
    <mergeCell ref="E36:G36"/>
    <mergeCell ref="E37:G37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8" xr:uid="{00000000-0002-0000-0300-000001000000}">
      <formula1>#REF!</formula1>
    </dataValidation>
  </dataValidations>
  <printOptions horizontalCentered="1"/>
  <pageMargins left="0.25" right="0.25" top="0.75" bottom="0.75" header="0" footer="0"/>
  <pageSetup scale="7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Docentes!$B$2:$B$304</xm:f>
          </x14:formula1>
          <xm:sqref>E30:E36</xm:sqref>
        </x14:dataValidation>
        <x14:dataValidation type="list" allowBlank="1" xr:uid="{00000000-0002-0000-0300-000002000000}">
          <x14:formula1>
            <xm:f>Materias!$A$118:$A$124</xm:f>
          </x14:formula1>
          <xm:sqref>B13:G27</xm:sqref>
        </x14:dataValidation>
        <x14:dataValidation type="list" allowBlank="1" showErrorMessage="1" xr:uid="{00000000-0002-0000-0300-000003000000}">
          <x14:formula1>
            <xm:f>Materias!$A$118:$A$124</xm:f>
          </x14:formula1>
          <xm:sqref>A30:A36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92D050"/>
    <pageSetUpPr fitToPage="1"/>
  </sheetPr>
  <dimension ref="A1:G1000"/>
  <sheetViews>
    <sheetView view="pageBreakPreview" topLeftCell="A13" zoomScale="70" zoomScaleNormal="50" zoomScaleSheetLayoutView="70" workbookViewId="0">
      <selection activeCell="B17" sqref="B17:E17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70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80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69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3" x14ac:dyDescent="0.35">
      <c r="A13" s="18" t="s">
        <v>16</v>
      </c>
      <c r="B13" s="16" t="s">
        <v>507</v>
      </c>
      <c r="C13" s="16"/>
      <c r="D13" s="16"/>
      <c r="E13" s="16"/>
      <c r="F13" s="16" t="s">
        <v>508</v>
      </c>
      <c r="G13" s="16"/>
    </row>
    <row r="14" spans="1:7" ht="53" x14ac:dyDescent="0.35">
      <c r="A14" s="18" t="s">
        <v>20</v>
      </c>
      <c r="B14" s="16" t="s">
        <v>507</v>
      </c>
      <c r="C14" s="16"/>
      <c r="D14" s="16"/>
      <c r="E14" s="16" t="s">
        <v>509</v>
      </c>
      <c r="F14" s="16" t="s">
        <v>508</v>
      </c>
      <c r="G14" s="16"/>
    </row>
    <row r="15" spans="1:7" ht="53" x14ac:dyDescent="0.35">
      <c r="A15" s="18" t="s">
        <v>21</v>
      </c>
      <c r="B15" s="16" t="s">
        <v>508</v>
      </c>
      <c r="C15" s="16" t="s">
        <v>507</v>
      </c>
      <c r="D15" s="16" t="s">
        <v>508</v>
      </c>
      <c r="E15" s="16" t="s">
        <v>507</v>
      </c>
      <c r="F15" s="16" t="s">
        <v>508</v>
      </c>
      <c r="G15" s="16"/>
    </row>
    <row r="16" spans="1:7" ht="53" x14ac:dyDescent="0.35">
      <c r="A16" s="18" t="s">
        <v>24</v>
      </c>
      <c r="B16" s="16" t="s">
        <v>510</v>
      </c>
      <c r="C16" s="16" t="s">
        <v>507</v>
      </c>
      <c r="D16" s="16" t="s">
        <v>508</v>
      </c>
      <c r="E16" s="16" t="s">
        <v>507</v>
      </c>
      <c r="F16" s="16" t="s">
        <v>511</v>
      </c>
      <c r="G16" s="16"/>
    </row>
    <row r="17" spans="1:7" ht="35.5" x14ac:dyDescent="0.35">
      <c r="A17" s="18" t="s">
        <v>26</v>
      </c>
      <c r="B17" s="13" t="s">
        <v>78</v>
      </c>
      <c r="C17" s="13" t="s">
        <v>78</v>
      </c>
      <c r="D17" s="13" t="s">
        <v>78</v>
      </c>
      <c r="E17" s="13" t="s">
        <v>78</v>
      </c>
      <c r="F17" s="16" t="s">
        <v>511</v>
      </c>
      <c r="G17" s="16"/>
    </row>
    <row r="18" spans="1:7" ht="53" x14ac:dyDescent="0.35">
      <c r="A18" s="18" t="s">
        <v>29</v>
      </c>
      <c r="B18" s="16" t="s">
        <v>505</v>
      </c>
      <c r="C18" s="16" t="s">
        <v>510</v>
      </c>
      <c r="D18" s="16" t="s">
        <v>511</v>
      </c>
      <c r="E18" s="16" t="s">
        <v>510</v>
      </c>
      <c r="F18" s="16"/>
      <c r="G18" s="16"/>
    </row>
    <row r="19" spans="1:7" ht="53" x14ac:dyDescent="0.35">
      <c r="A19" s="18" t="s">
        <v>31</v>
      </c>
      <c r="B19" s="16" t="s">
        <v>505</v>
      </c>
      <c r="C19" s="16" t="s">
        <v>510</v>
      </c>
      <c r="D19" s="16" t="s">
        <v>511</v>
      </c>
      <c r="E19" s="16" t="s">
        <v>510</v>
      </c>
      <c r="F19" s="16"/>
      <c r="G19" s="16"/>
    </row>
    <row r="20" spans="1:7" ht="53" x14ac:dyDescent="0.35">
      <c r="A20" s="18" t="s">
        <v>32</v>
      </c>
      <c r="B20" s="16" t="s">
        <v>505</v>
      </c>
      <c r="C20" s="16" t="s">
        <v>505</v>
      </c>
      <c r="D20" s="16" t="s">
        <v>511</v>
      </c>
      <c r="E20" s="16" t="s">
        <v>510</v>
      </c>
      <c r="F20" s="16"/>
      <c r="G20" s="16"/>
    </row>
    <row r="21" spans="1:7" ht="53" x14ac:dyDescent="0.35">
      <c r="A21" s="18" t="s">
        <v>33</v>
      </c>
      <c r="B21" s="16" t="s">
        <v>504</v>
      </c>
      <c r="C21" s="16" t="s">
        <v>505</v>
      </c>
      <c r="D21" s="16" t="s">
        <v>504</v>
      </c>
      <c r="E21" s="16"/>
      <c r="F21" s="16"/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 t="s">
        <v>549</v>
      </c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73</v>
      </c>
      <c r="B30" s="36"/>
      <c r="C30" s="37"/>
      <c r="D30" s="22">
        <f>VLOOKUP(A30, Materias!A2:C180, 3, FALSE)</f>
        <v>6</v>
      </c>
      <c r="E30" s="41" t="s">
        <v>49</v>
      </c>
      <c r="F30" s="36"/>
      <c r="G30" s="37"/>
    </row>
    <row r="31" spans="1:7" ht="14.25" customHeight="1" x14ac:dyDescent="0.35">
      <c r="A31" s="35" t="s">
        <v>74</v>
      </c>
      <c r="B31" s="36"/>
      <c r="C31" s="37"/>
      <c r="D31" s="22">
        <f>VLOOKUP(A31, Materias!A2:C180, 3, FALSE)</f>
        <v>6</v>
      </c>
      <c r="E31" s="41" t="s">
        <v>64</v>
      </c>
      <c r="F31" s="36"/>
      <c r="G31" s="37"/>
    </row>
    <row r="32" spans="1:7" ht="14.25" customHeight="1" x14ac:dyDescent="0.35">
      <c r="A32" s="35" t="s">
        <v>77</v>
      </c>
      <c r="B32" s="36"/>
      <c r="C32" s="37"/>
      <c r="D32" s="22">
        <f>VLOOKUP(A32, Materias!A2:C180, 3, FALSE)</f>
        <v>6</v>
      </c>
      <c r="E32" s="41" t="s">
        <v>67</v>
      </c>
      <c r="F32" s="36"/>
      <c r="G32" s="37"/>
    </row>
    <row r="33" spans="1:7" ht="14.25" customHeight="1" x14ac:dyDescent="0.35">
      <c r="A33" s="35" t="s">
        <v>75</v>
      </c>
      <c r="B33" s="36"/>
      <c r="C33" s="37"/>
      <c r="D33" s="22">
        <f>VLOOKUP(A33, Materias!A2:C180, 3, FALSE)</f>
        <v>6</v>
      </c>
      <c r="E33" s="41" t="s">
        <v>65</v>
      </c>
      <c r="F33" s="36"/>
      <c r="G33" s="37"/>
    </row>
    <row r="34" spans="1:7" ht="14.25" customHeight="1" x14ac:dyDescent="0.35">
      <c r="A34" s="35" t="s">
        <v>76</v>
      </c>
      <c r="B34" s="36"/>
      <c r="C34" s="37"/>
      <c r="D34" s="22">
        <f>VLOOKUP(A34, Materias!A2:C180, 3, FALSE)</f>
        <v>2</v>
      </c>
      <c r="E34" s="41" t="s">
        <v>66</v>
      </c>
      <c r="F34" s="36"/>
      <c r="G34" s="37"/>
    </row>
    <row r="35" spans="1:7" ht="14.25" customHeight="1" x14ac:dyDescent="0.35">
      <c r="A35" s="35" t="s">
        <v>78</v>
      </c>
      <c r="B35" s="36"/>
      <c r="C35" s="37"/>
      <c r="D35" s="22">
        <f>VLOOKUP(A35, Materias!A2:C180, 3, FALSE)</f>
        <v>4</v>
      </c>
      <c r="E35" s="41" t="s">
        <v>46</v>
      </c>
      <c r="F35" s="36"/>
      <c r="G35" s="37"/>
    </row>
    <row r="36" spans="1:7" ht="14.25" customHeight="1" x14ac:dyDescent="0.35">
      <c r="A36" s="35" t="s">
        <v>79</v>
      </c>
      <c r="B36" s="36"/>
      <c r="C36" s="37"/>
      <c r="D36" s="22">
        <f>VLOOKUP(A36, Materias!A3:C181, 3, FALSE)</f>
        <v>5</v>
      </c>
      <c r="E36" s="41" t="s">
        <v>47</v>
      </c>
      <c r="F36" s="36"/>
      <c r="G36" s="37"/>
    </row>
    <row r="37" spans="1:7" ht="14.25" customHeight="1" x14ac:dyDescent="0.35">
      <c r="A37" s="38" t="s">
        <v>55</v>
      </c>
      <c r="B37" s="36"/>
      <c r="C37" s="37"/>
      <c r="D37" s="21">
        <f>SUM(D30:D36)</f>
        <v>35</v>
      </c>
      <c r="E37" s="51"/>
      <c r="F37" s="36"/>
      <c r="G37" s="37"/>
    </row>
    <row r="38" spans="1:7" ht="15" customHeight="1" x14ac:dyDescent="0.35">
      <c r="A38" s="23"/>
      <c r="B38" s="23"/>
      <c r="C38" s="23"/>
      <c r="D38" s="24"/>
      <c r="E38" s="25"/>
      <c r="F38" s="25"/>
      <c r="G38" s="25"/>
    </row>
    <row r="39" spans="1:7" ht="14.25" customHeight="1" x14ac:dyDescent="0.35">
      <c r="A39" s="52" t="s">
        <v>56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50" t="s">
        <v>57</v>
      </c>
      <c r="B40" s="30"/>
      <c r="C40" s="30"/>
      <c r="D40" s="30"/>
      <c r="E40" s="30"/>
      <c r="F40" s="30"/>
      <c r="G40" s="30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0">
    <mergeCell ref="A39:G39"/>
    <mergeCell ref="A40:G40"/>
    <mergeCell ref="A32:C32"/>
    <mergeCell ref="E32:G32"/>
    <mergeCell ref="A33:C33"/>
    <mergeCell ref="E33:G33"/>
    <mergeCell ref="A34:C34"/>
    <mergeCell ref="E34:G34"/>
    <mergeCell ref="E35:G35"/>
    <mergeCell ref="A35:C35"/>
    <mergeCell ref="A36:C36"/>
    <mergeCell ref="A37:C37"/>
    <mergeCell ref="E36:G36"/>
    <mergeCell ref="E37:G37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8" xr:uid="{00000000-0002-0000-0400-000001000000}">
      <formula1>#REF!</formula1>
    </dataValidation>
  </dataValidations>
  <printOptions horizontalCentered="1"/>
  <pageMargins left="0.25" right="0.25" top="0.75" bottom="0.75" header="0" footer="0"/>
  <pageSetup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Docentes!$B$2:$B$304</xm:f>
          </x14:formula1>
          <xm:sqref>E30:E36</xm:sqref>
        </x14:dataValidation>
        <x14:dataValidation type="list" allowBlank="1" xr:uid="{00000000-0002-0000-0400-000002000000}">
          <x14:formula1>
            <xm:f>Materias!$A$118:$A$124</xm:f>
          </x14:formula1>
          <xm:sqref>B13:G27</xm:sqref>
        </x14:dataValidation>
        <x14:dataValidation type="list" allowBlank="1" showErrorMessage="1" xr:uid="{00000000-0002-0000-0400-000003000000}">
          <x14:formula1>
            <xm:f>Materias!$A$118:$A$124</xm:f>
          </x14:formula1>
          <xm:sqref>A30:A36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92D050"/>
    <pageSetUpPr fitToPage="1"/>
  </sheetPr>
  <dimension ref="A1:G1000"/>
  <sheetViews>
    <sheetView view="pageBreakPreview" topLeftCell="A16" zoomScale="70" zoomScaleNormal="50" zoomScaleSheetLayoutView="70" workbookViewId="0">
      <selection activeCell="G18" sqref="G18:G19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82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83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81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5"/>
      <c r="G13" s="16"/>
    </row>
    <row r="14" spans="1:7" ht="53" x14ac:dyDescent="0.35">
      <c r="A14" s="18" t="s">
        <v>20</v>
      </c>
      <c r="B14" s="16"/>
      <c r="C14" s="16"/>
      <c r="D14" s="16"/>
      <c r="E14" s="16"/>
      <c r="F14" s="15"/>
      <c r="G14" s="16" t="s">
        <v>634</v>
      </c>
    </row>
    <row r="15" spans="1:7" ht="53" x14ac:dyDescent="0.35">
      <c r="A15" s="18" t="s">
        <v>21</v>
      </c>
      <c r="B15" s="16"/>
      <c r="C15" s="16"/>
      <c r="D15" s="16"/>
      <c r="E15" s="16"/>
      <c r="F15" s="16"/>
      <c r="G15" s="16" t="s">
        <v>634</v>
      </c>
    </row>
    <row r="16" spans="1:7" ht="88" x14ac:dyDescent="0.35">
      <c r="A16" s="18" t="s">
        <v>24</v>
      </c>
      <c r="B16" s="15"/>
      <c r="C16" s="15"/>
      <c r="D16" s="15"/>
      <c r="E16" s="15"/>
      <c r="F16" s="15"/>
      <c r="G16" s="16" t="s">
        <v>635</v>
      </c>
    </row>
    <row r="17" spans="1:7" ht="88" x14ac:dyDescent="0.35">
      <c r="A17" s="18" t="s">
        <v>26</v>
      </c>
      <c r="B17" s="16"/>
      <c r="C17" s="16"/>
      <c r="D17" s="16"/>
      <c r="E17" s="16"/>
      <c r="F17" s="16"/>
      <c r="G17" s="16" t="s">
        <v>635</v>
      </c>
    </row>
    <row r="18" spans="1:7" ht="70.5" x14ac:dyDescent="0.35">
      <c r="A18" s="18" t="s">
        <v>29</v>
      </c>
      <c r="B18" s="16" t="s">
        <v>86</v>
      </c>
      <c r="C18" s="16" t="s">
        <v>87</v>
      </c>
      <c r="D18" s="16" t="s">
        <v>88</v>
      </c>
      <c r="E18" s="16" t="s">
        <v>89</v>
      </c>
      <c r="F18" s="16"/>
      <c r="G18" s="13" t="s">
        <v>90</v>
      </c>
    </row>
    <row r="19" spans="1:7" ht="70.5" x14ac:dyDescent="0.35">
      <c r="A19" s="18" t="s">
        <v>31</v>
      </c>
      <c r="B19" s="16" t="s">
        <v>91</v>
      </c>
      <c r="C19" s="26" t="s">
        <v>460</v>
      </c>
      <c r="D19" s="16"/>
      <c r="E19" s="16"/>
      <c r="F19" s="16"/>
      <c r="G19" s="13" t="s">
        <v>90</v>
      </c>
    </row>
    <row r="20" spans="1:7" ht="53" x14ac:dyDescent="0.35">
      <c r="A20" s="18" t="s">
        <v>32</v>
      </c>
      <c r="B20" s="16" t="s">
        <v>92</v>
      </c>
      <c r="C20" s="26" t="s">
        <v>460</v>
      </c>
      <c r="D20" s="16"/>
      <c r="E20" s="16"/>
      <c r="F20" s="16"/>
      <c r="G20" s="16"/>
    </row>
    <row r="21" spans="1:7" ht="53" x14ac:dyDescent="0.35">
      <c r="A21" s="18" t="s">
        <v>33</v>
      </c>
      <c r="B21" s="16" t="s">
        <v>93</v>
      </c>
      <c r="C21" s="16" t="s">
        <v>94</v>
      </c>
      <c r="D21" s="16"/>
      <c r="E21" s="16"/>
      <c r="F21" s="16"/>
      <c r="G21" s="16"/>
    </row>
    <row r="22" spans="1:7" ht="53" x14ac:dyDescent="0.35">
      <c r="A22" s="18" t="s">
        <v>34</v>
      </c>
      <c r="B22" s="16"/>
      <c r="C22" s="16"/>
      <c r="D22" s="16"/>
      <c r="E22" s="16"/>
      <c r="F22" s="16" t="s">
        <v>631</v>
      </c>
      <c r="G22" s="16"/>
    </row>
    <row r="23" spans="1:7" ht="53" x14ac:dyDescent="0.35">
      <c r="A23" s="18" t="s">
        <v>35</v>
      </c>
      <c r="B23" s="16"/>
      <c r="C23" s="16"/>
      <c r="D23" s="16"/>
      <c r="E23" s="16"/>
      <c r="F23" s="16" t="s">
        <v>631</v>
      </c>
      <c r="G23" s="16"/>
    </row>
    <row r="24" spans="1:7" ht="53" x14ac:dyDescent="0.35">
      <c r="A24" s="18" t="s">
        <v>36</v>
      </c>
      <c r="B24" s="16"/>
      <c r="C24" s="16"/>
      <c r="D24" s="16"/>
      <c r="E24" s="16"/>
      <c r="F24" s="16" t="s">
        <v>632</v>
      </c>
      <c r="G24" s="16"/>
    </row>
    <row r="25" spans="1:7" ht="53" x14ac:dyDescent="0.35">
      <c r="A25" s="18" t="s">
        <v>37</v>
      </c>
      <c r="B25" s="16"/>
      <c r="C25" s="16"/>
      <c r="D25" s="16" t="s">
        <v>100</v>
      </c>
      <c r="E25" s="16"/>
      <c r="F25" s="16" t="s">
        <v>632</v>
      </c>
      <c r="G25" s="16"/>
    </row>
    <row r="26" spans="1:7" ht="35.5" x14ac:dyDescent="0.35">
      <c r="A26" s="18" t="s">
        <v>38</v>
      </c>
      <c r="B26" s="16"/>
      <c r="C26" s="16"/>
      <c r="D26" s="16" t="s">
        <v>97</v>
      </c>
      <c r="E26" s="16"/>
      <c r="F26" s="16" t="s">
        <v>633</v>
      </c>
      <c r="G26" s="16"/>
    </row>
    <row r="27" spans="1:7" ht="35.5" x14ac:dyDescent="0.35">
      <c r="A27" s="19" t="s">
        <v>39</v>
      </c>
      <c r="B27" s="16"/>
      <c r="C27" s="16"/>
      <c r="D27" s="16" t="s">
        <v>99</v>
      </c>
      <c r="E27" s="16"/>
      <c r="F27" s="16" t="s">
        <v>633</v>
      </c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98</v>
      </c>
      <c r="B30" s="36"/>
      <c r="C30" s="37"/>
      <c r="D30" s="22">
        <f>VLOOKUP(A30, Materias!A2:C180, 3, FALSE)</f>
        <v>4</v>
      </c>
      <c r="E30" s="41" t="s">
        <v>101</v>
      </c>
      <c r="F30" s="36"/>
      <c r="G30" s="37"/>
    </row>
    <row r="31" spans="1:7" ht="14.25" customHeight="1" x14ac:dyDescent="0.35">
      <c r="A31" s="35" t="s">
        <v>85</v>
      </c>
      <c r="B31" s="36"/>
      <c r="C31" s="37"/>
      <c r="D31" s="22">
        <f>VLOOKUP(A31, Materias!A2:C180, 3, FALSE)</f>
        <v>5</v>
      </c>
      <c r="E31" s="41" t="s">
        <v>102</v>
      </c>
      <c r="F31" s="36"/>
      <c r="G31" s="37"/>
    </row>
    <row r="32" spans="1:7" ht="14.25" customHeight="1" x14ac:dyDescent="0.35">
      <c r="A32" s="35" t="s">
        <v>95</v>
      </c>
      <c r="B32" s="36"/>
      <c r="C32" s="37"/>
      <c r="D32" s="22">
        <f>VLOOKUP(A32, Materias!A2:C180, 3, FALSE)</f>
        <v>5</v>
      </c>
      <c r="E32" s="41" t="s">
        <v>103</v>
      </c>
      <c r="F32" s="36"/>
      <c r="G32" s="37"/>
    </row>
    <row r="33" spans="1:7" ht="14.25" customHeight="1" x14ac:dyDescent="0.35">
      <c r="A33" s="35" t="s">
        <v>96</v>
      </c>
      <c r="B33" s="36"/>
      <c r="C33" s="37"/>
      <c r="D33" s="22">
        <f>VLOOKUP(A33, Materias!A2:C180, 3, FALSE)</f>
        <v>4</v>
      </c>
      <c r="E33" s="41" t="s">
        <v>66</v>
      </c>
      <c r="F33" s="36"/>
      <c r="G33" s="37"/>
    </row>
    <row r="34" spans="1:7" ht="14.25" customHeight="1" x14ac:dyDescent="0.35">
      <c r="A34" s="35" t="s">
        <v>90</v>
      </c>
      <c r="B34" s="36"/>
      <c r="C34" s="37"/>
      <c r="D34" s="22">
        <f>VLOOKUP(A34, Materias!A2:C180,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84</v>
      </c>
      <c r="B35" s="36"/>
      <c r="C35" s="37"/>
      <c r="D35" s="22">
        <f>VLOOKUP(A35, Materias!A2:C180, 3, FALSE)</f>
        <v>3</v>
      </c>
      <c r="E35" s="41" t="s">
        <v>104</v>
      </c>
      <c r="F35" s="36"/>
      <c r="G35" s="37"/>
    </row>
    <row r="36" spans="1:7" ht="14.25" customHeight="1" x14ac:dyDescent="0.35">
      <c r="A36" s="38" t="s">
        <v>55</v>
      </c>
      <c r="B36" s="36"/>
      <c r="C36" s="37"/>
      <c r="D36" s="21">
        <f>SUM(D30:D35)</f>
        <v>25</v>
      </c>
      <c r="E36" s="51"/>
      <c r="F36" s="36"/>
      <c r="G36" s="37"/>
    </row>
    <row r="37" spans="1:7" ht="14.25" customHeight="1" x14ac:dyDescent="0.35">
      <c r="A37" s="23"/>
      <c r="B37" s="23"/>
      <c r="C37" s="23"/>
      <c r="D37" s="24"/>
      <c r="E37" s="25"/>
      <c r="F37" s="25"/>
      <c r="G37" s="25"/>
    </row>
    <row r="38" spans="1:7" ht="15" customHeight="1" x14ac:dyDescent="0.35">
      <c r="A38" s="52" t="s">
        <v>56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50" t="s">
        <v>57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8">
    <mergeCell ref="A32:C32"/>
    <mergeCell ref="E32:G32"/>
    <mergeCell ref="A33:C33"/>
    <mergeCell ref="E33:G33"/>
    <mergeCell ref="A34:C34"/>
    <mergeCell ref="E34:G34"/>
    <mergeCell ref="A35:C35"/>
    <mergeCell ref="A36:C36"/>
    <mergeCell ref="E36:G36"/>
    <mergeCell ref="A38:G38"/>
    <mergeCell ref="A39:G39"/>
    <mergeCell ref="E35:G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7" xr:uid="{00000000-0002-0000-0500-000003000000}">
      <formula1>#REF!</formula1>
    </dataValidation>
  </dataValidations>
  <printOptions horizontalCentered="1"/>
  <pageMargins left="0.25" right="0.25" top="0.75" bottom="0.75" header="0" footer="0"/>
  <pageSetup scale="5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Materias!$A$125:$A$130</xm:f>
          </x14:formula1>
          <xm:sqref>A30:A35</xm:sqref>
        </x14:dataValidation>
        <x14:dataValidation type="list" allowBlank="1" xr:uid="{00000000-0002-0000-0500-000001000000}">
          <x14:formula1>
            <xm:f>Docentes!$B$2:$B$304</xm:f>
          </x14:formula1>
          <xm:sqref>E30:E35</xm:sqref>
        </x14:dataValidation>
        <x14:dataValidation type="list" allowBlank="1" xr:uid="{00000000-0002-0000-0500-000002000000}">
          <x14:formula1>
            <xm:f>Materias!$A$125:$A$130</xm:f>
          </x14:formula1>
          <xm:sqref>B13:G27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92D050"/>
    <pageSetUpPr fitToPage="1"/>
  </sheetPr>
  <dimension ref="A1:G1000"/>
  <sheetViews>
    <sheetView view="pageBreakPreview" topLeftCell="A13" zoomScale="70" zoomScaleNormal="50" zoomScaleSheetLayoutView="70" workbookViewId="0">
      <selection activeCell="G16" sqref="G16:G17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82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105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81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3" x14ac:dyDescent="0.35">
      <c r="A13" s="18" t="s">
        <v>16</v>
      </c>
      <c r="B13" s="16"/>
      <c r="C13" s="16"/>
      <c r="D13" s="16"/>
      <c r="E13" s="16"/>
      <c r="F13" s="15"/>
      <c r="G13" s="16" t="s">
        <v>639</v>
      </c>
    </row>
    <row r="14" spans="1:7" ht="53" x14ac:dyDescent="0.35">
      <c r="A14" s="18" t="s">
        <v>20</v>
      </c>
      <c r="B14" s="16"/>
      <c r="C14" s="16"/>
      <c r="D14" s="16"/>
      <c r="E14" s="16"/>
      <c r="F14" s="15"/>
      <c r="G14" s="16" t="s">
        <v>639</v>
      </c>
    </row>
    <row r="15" spans="1:7" ht="53.5" x14ac:dyDescent="0.35">
      <c r="A15" s="18" t="s">
        <v>21</v>
      </c>
      <c r="B15" s="16"/>
      <c r="C15" s="16"/>
      <c r="D15" s="16"/>
      <c r="E15" s="16"/>
      <c r="F15" s="16"/>
      <c r="G15" s="16" t="s">
        <v>638</v>
      </c>
    </row>
    <row r="16" spans="1:7" ht="31" x14ac:dyDescent="0.35">
      <c r="A16" s="18" t="s">
        <v>24</v>
      </c>
      <c r="B16" s="15"/>
      <c r="C16" s="15"/>
      <c r="D16" s="15"/>
      <c r="E16" s="15"/>
      <c r="F16" s="15"/>
      <c r="G16" s="13" t="s">
        <v>106</v>
      </c>
    </row>
    <row r="17" spans="1:7" ht="53" x14ac:dyDescent="0.35">
      <c r="A17" s="18" t="s">
        <v>26</v>
      </c>
      <c r="B17" s="16" t="s">
        <v>109</v>
      </c>
      <c r="C17" s="16"/>
      <c r="D17" s="16"/>
      <c r="E17" s="16"/>
      <c r="F17" s="16"/>
      <c r="G17" s="13" t="s">
        <v>590</v>
      </c>
    </row>
    <row r="18" spans="1:7" ht="53" x14ac:dyDescent="0.35">
      <c r="A18" s="18" t="s">
        <v>29</v>
      </c>
      <c r="B18" s="16" t="s">
        <v>110</v>
      </c>
      <c r="C18" s="16" t="s">
        <v>111</v>
      </c>
      <c r="D18" s="16" t="s">
        <v>112</v>
      </c>
      <c r="E18" s="16"/>
      <c r="F18" s="16"/>
      <c r="G18" s="16" t="s">
        <v>640</v>
      </c>
    </row>
    <row r="19" spans="1:7" ht="53" x14ac:dyDescent="0.35">
      <c r="A19" s="18" t="s">
        <v>31</v>
      </c>
      <c r="B19" s="16" t="s">
        <v>114</v>
      </c>
      <c r="C19" s="16" t="s">
        <v>115</v>
      </c>
      <c r="D19" s="16" t="s">
        <v>116</v>
      </c>
      <c r="E19" s="16"/>
      <c r="F19" s="16"/>
      <c r="G19" s="16" t="s">
        <v>640</v>
      </c>
    </row>
    <row r="20" spans="1:7" ht="35.5" x14ac:dyDescent="0.35">
      <c r="A20" s="18" t="s">
        <v>32</v>
      </c>
      <c r="B20" s="26" t="s">
        <v>461</v>
      </c>
      <c r="C20" s="16" t="s">
        <v>117</v>
      </c>
      <c r="D20" s="16" t="s">
        <v>118</v>
      </c>
      <c r="E20" s="16"/>
      <c r="F20" s="16"/>
      <c r="G20" s="16"/>
    </row>
    <row r="21" spans="1:7" ht="35.5" x14ac:dyDescent="0.35">
      <c r="A21" s="18" t="s">
        <v>33</v>
      </c>
      <c r="B21" s="26" t="s">
        <v>461</v>
      </c>
      <c r="C21" s="26" t="s">
        <v>461</v>
      </c>
      <c r="D21" s="16" t="s">
        <v>119</v>
      </c>
      <c r="E21" s="16"/>
      <c r="F21" s="16"/>
      <c r="G21" s="16"/>
    </row>
    <row r="22" spans="1:7" ht="70.5" x14ac:dyDescent="0.35">
      <c r="A22" s="18" t="s">
        <v>34</v>
      </c>
      <c r="B22" s="16"/>
      <c r="C22" s="16"/>
      <c r="D22" s="16"/>
      <c r="E22" s="16"/>
      <c r="F22" s="16" t="s">
        <v>636</v>
      </c>
      <c r="G22" s="16"/>
    </row>
    <row r="23" spans="1:7" ht="70.5" x14ac:dyDescent="0.35">
      <c r="A23" s="18" t="s">
        <v>35</v>
      </c>
      <c r="B23" s="16"/>
      <c r="C23" s="16"/>
      <c r="D23" s="16"/>
      <c r="E23" s="16"/>
      <c r="F23" s="16" t="s">
        <v>636</v>
      </c>
      <c r="G23" s="16"/>
    </row>
    <row r="24" spans="1:7" ht="53" x14ac:dyDescent="0.35">
      <c r="A24" s="18" t="s">
        <v>36</v>
      </c>
      <c r="B24" s="16"/>
      <c r="C24" s="16"/>
      <c r="D24" s="16"/>
      <c r="E24" s="16"/>
      <c r="F24" s="16" t="s">
        <v>637</v>
      </c>
      <c r="G24" s="16"/>
    </row>
    <row r="25" spans="1:7" ht="53" x14ac:dyDescent="0.35">
      <c r="A25" s="18" t="s">
        <v>37</v>
      </c>
      <c r="B25" s="16"/>
      <c r="C25" s="16"/>
      <c r="D25" s="16"/>
      <c r="E25" s="16"/>
      <c r="F25" s="16" t="s">
        <v>637</v>
      </c>
      <c r="G25" s="16"/>
    </row>
    <row r="26" spans="1:7" ht="53.5" x14ac:dyDescent="0.35">
      <c r="A26" s="18" t="s">
        <v>38</v>
      </c>
      <c r="B26" s="16"/>
      <c r="C26" s="16"/>
      <c r="D26" s="16"/>
      <c r="E26" s="16"/>
      <c r="F26" s="16" t="s">
        <v>638</v>
      </c>
      <c r="G26" s="16"/>
    </row>
    <row r="27" spans="1:7" ht="53.5" x14ac:dyDescent="0.35">
      <c r="A27" s="19" t="s">
        <v>39</v>
      </c>
      <c r="B27" s="16"/>
      <c r="C27" s="16"/>
      <c r="D27" s="16"/>
      <c r="E27" s="16"/>
      <c r="F27" s="16" t="s">
        <v>638</v>
      </c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121</v>
      </c>
      <c r="B30" s="36"/>
      <c r="C30" s="37"/>
      <c r="D30" s="22">
        <f>VLOOKUP(A30, Materias!A2:C180, 3, FALSE)</f>
        <v>4</v>
      </c>
      <c r="E30" s="41" t="s">
        <v>122</v>
      </c>
      <c r="F30" s="36"/>
      <c r="G30" s="37"/>
    </row>
    <row r="31" spans="1:7" ht="14.25" customHeight="1" x14ac:dyDescent="0.35">
      <c r="A31" s="35" t="s">
        <v>120</v>
      </c>
      <c r="B31" s="36"/>
      <c r="C31" s="37"/>
      <c r="D31" s="22">
        <f>VLOOKUP(A31, Materias!A2:C180, 3, FALSE)</f>
        <v>5</v>
      </c>
      <c r="E31" s="41" t="s">
        <v>66</v>
      </c>
      <c r="F31" s="36"/>
      <c r="G31" s="37"/>
    </row>
    <row r="32" spans="1:7" ht="14.25" customHeight="1" x14ac:dyDescent="0.35">
      <c r="A32" s="35" t="s">
        <v>107</v>
      </c>
      <c r="B32" s="36"/>
      <c r="C32" s="37"/>
      <c r="D32" s="22">
        <f>VLOOKUP(A32, Materias!A2:C180, 3, FALSE)</f>
        <v>5</v>
      </c>
      <c r="E32" s="41" t="s">
        <v>103</v>
      </c>
      <c r="F32" s="36"/>
      <c r="G32" s="37"/>
    </row>
    <row r="33" spans="1:7" ht="14.25" customHeight="1" x14ac:dyDescent="0.35">
      <c r="A33" s="35" t="s">
        <v>113</v>
      </c>
      <c r="B33" s="36"/>
      <c r="C33" s="37"/>
      <c r="D33" s="22">
        <f>VLOOKUP(A33, Materias!A2:C180, 3, FALSE)</f>
        <v>4</v>
      </c>
      <c r="E33" s="41" t="s">
        <v>102</v>
      </c>
      <c r="F33" s="36"/>
      <c r="G33" s="37"/>
    </row>
    <row r="34" spans="1:7" ht="14.25" customHeight="1" x14ac:dyDescent="0.35">
      <c r="A34" s="35" t="s">
        <v>106</v>
      </c>
      <c r="B34" s="36"/>
      <c r="C34" s="37"/>
      <c r="D34" s="22">
        <f>VLOOKUP(A34, Materias!A2:C180,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108</v>
      </c>
      <c r="B35" s="36"/>
      <c r="C35" s="37"/>
      <c r="D35" s="22">
        <f>VLOOKUP(A35, Materias!A2:C180, 3, FALSE)</f>
        <v>3</v>
      </c>
      <c r="E35" s="41" t="s">
        <v>101</v>
      </c>
      <c r="F35" s="36"/>
      <c r="G35" s="37"/>
    </row>
    <row r="36" spans="1:7" ht="14.25" customHeight="1" x14ac:dyDescent="0.35">
      <c r="A36" s="38" t="s">
        <v>55</v>
      </c>
      <c r="B36" s="36"/>
      <c r="C36" s="37"/>
      <c r="D36" s="21">
        <f>SUM(D30:D35)</f>
        <v>25</v>
      </c>
      <c r="E36" s="51"/>
      <c r="F36" s="36"/>
      <c r="G36" s="37"/>
    </row>
    <row r="37" spans="1:7" ht="14.25" customHeight="1" x14ac:dyDescent="0.35">
      <c r="A37" s="23"/>
      <c r="B37" s="23"/>
      <c r="C37" s="23"/>
      <c r="D37" s="24"/>
      <c r="E37" s="25"/>
      <c r="F37" s="25"/>
      <c r="G37" s="25"/>
    </row>
    <row r="38" spans="1:7" ht="15" customHeight="1" x14ac:dyDescent="0.35">
      <c r="A38" s="52" t="s">
        <v>56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50" t="s">
        <v>57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8">
    <mergeCell ref="A32:C32"/>
    <mergeCell ref="E32:G32"/>
    <mergeCell ref="A33:C33"/>
    <mergeCell ref="E33:G33"/>
    <mergeCell ref="A34:C34"/>
    <mergeCell ref="E34:G34"/>
    <mergeCell ref="A35:C35"/>
    <mergeCell ref="A36:C36"/>
    <mergeCell ref="E36:G36"/>
    <mergeCell ref="A38:G38"/>
    <mergeCell ref="A39:G39"/>
    <mergeCell ref="E35:G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7" xr:uid="{00000000-0002-0000-0600-000002000000}">
      <formula1>#REF!</formula1>
    </dataValidation>
  </dataValidations>
  <printOptions horizontalCentered="1"/>
  <pageMargins left="0.25" right="0.25" top="0.75" bottom="0.75" header="0" footer="0"/>
  <pageSetup scale="6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600-000000000000}">
          <x14:formula1>
            <xm:f>Docentes!$B$2:$B$304</xm:f>
          </x14:formula1>
          <xm:sqref>E30:E35</xm:sqref>
        </x14:dataValidation>
        <x14:dataValidation type="list" allowBlank="1" showErrorMessage="1" xr:uid="{00000000-0002-0000-0600-000001000000}">
          <x14:formula1>
            <xm:f>Materias!$A$131:$A$136</xm:f>
          </x14:formula1>
          <xm:sqref>A30:A35</xm:sqref>
        </x14:dataValidation>
        <x14:dataValidation type="list" allowBlank="1" xr:uid="{00000000-0002-0000-0600-000003000000}">
          <x14:formula1>
            <xm:f>Materias!$A$131:$A$136</xm:f>
          </x14:formula1>
          <xm:sqref>B13:G27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92D050"/>
    <pageSetUpPr fitToPage="1"/>
  </sheetPr>
  <dimension ref="A1:G1000"/>
  <sheetViews>
    <sheetView view="pageBreakPreview" topLeftCell="A6" zoomScale="70" zoomScaleNormal="50" zoomScaleSheetLayoutView="70" workbookViewId="0">
      <selection activeCell="G14" sqref="G14:G15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82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123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81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5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5"/>
      <c r="G14" s="13" t="s">
        <v>106</v>
      </c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3" t="s">
        <v>106</v>
      </c>
    </row>
    <row r="16" spans="1:7" ht="53.5" x14ac:dyDescent="0.35">
      <c r="A16" s="18" t="s">
        <v>24</v>
      </c>
      <c r="B16" s="15"/>
      <c r="C16" s="15"/>
      <c r="D16" s="15"/>
      <c r="E16" s="15"/>
      <c r="F16" s="15"/>
      <c r="G16" s="16" t="s">
        <v>638</v>
      </c>
    </row>
    <row r="17" spans="1:7" ht="53.5" x14ac:dyDescent="0.35">
      <c r="A17" s="18" t="s">
        <v>26</v>
      </c>
      <c r="B17" s="16"/>
      <c r="C17" s="16"/>
      <c r="D17" s="16"/>
      <c r="E17" s="16"/>
      <c r="F17" s="16"/>
      <c r="G17" s="16" t="s">
        <v>638</v>
      </c>
    </row>
    <row r="18" spans="1:7" ht="53" x14ac:dyDescent="0.35">
      <c r="A18" s="18" t="s">
        <v>29</v>
      </c>
      <c r="B18" s="16" t="s">
        <v>124</v>
      </c>
      <c r="C18" s="16"/>
      <c r="D18" s="16"/>
      <c r="E18" s="16"/>
      <c r="F18" s="16"/>
      <c r="G18" s="16" t="s">
        <v>642</v>
      </c>
    </row>
    <row r="19" spans="1:7" ht="53" x14ac:dyDescent="0.35">
      <c r="A19" s="18" t="s">
        <v>31</v>
      </c>
      <c r="B19" s="16" t="s">
        <v>125</v>
      </c>
      <c r="C19" s="16" t="s">
        <v>126</v>
      </c>
      <c r="D19" s="16"/>
      <c r="E19" s="16"/>
      <c r="F19" s="16"/>
      <c r="G19" s="16" t="s">
        <v>642</v>
      </c>
    </row>
    <row r="20" spans="1:7" ht="53" x14ac:dyDescent="0.35">
      <c r="A20" s="18" t="s">
        <v>32</v>
      </c>
      <c r="B20" s="16" t="s">
        <v>127</v>
      </c>
      <c r="C20" s="16" t="s">
        <v>128</v>
      </c>
      <c r="D20" s="16" t="s">
        <v>129</v>
      </c>
      <c r="E20" s="16" t="s">
        <v>130</v>
      </c>
      <c r="F20" s="16"/>
      <c r="G20" s="16" t="s">
        <v>643</v>
      </c>
    </row>
    <row r="21" spans="1:7" ht="53" x14ac:dyDescent="0.35">
      <c r="A21" s="18" t="s">
        <v>33</v>
      </c>
      <c r="B21" s="26" t="s">
        <v>461</v>
      </c>
      <c r="C21" s="16"/>
      <c r="D21" s="16" t="s">
        <v>131</v>
      </c>
      <c r="E21" s="16" t="s">
        <v>132</v>
      </c>
      <c r="F21" s="16"/>
      <c r="G21" s="16" t="s">
        <v>643</v>
      </c>
    </row>
    <row r="22" spans="1:7" ht="88.5" x14ac:dyDescent="0.35">
      <c r="A22" s="18" t="s">
        <v>34</v>
      </c>
      <c r="B22" s="26" t="s">
        <v>461</v>
      </c>
      <c r="C22" s="16"/>
      <c r="D22" s="16"/>
      <c r="E22" s="16"/>
      <c r="F22" s="16" t="s">
        <v>641</v>
      </c>
      <c r="G22" s="16"/>
    </row>
    <row r="23" spans="1:7" ht="88.5" x14ac:dyDescent="0.35">
      <c r="A23" s="18" t="s">
        <v>35</v>
      </c>
      <c r="B23" s="16"/>
      <c r="C23" s="16"/>
      <c r="D23" s="16"/>
      <c r="E23" s="16"/>
      <c r="F23" s="16" t="s">
        <v>641</v>
      </c>
      <c r="G23" s="16"/>
    </row>
    <row r="24" spans="1:7" ht="88.5" x14ac:dyDescent="0.35">
      <c r="A24" s="18" t="s">
        <v>36</v>
      </c>
      <c r="B24" s="16"/>
      <c r="C24" s="16"/>
      <c r="D24" s="16"/>
      <c r="E24" s="16"/>
      <c r="F24" s="16" t="s">
        <v>641</v>
      </c>
      <c r="G24" s="16"/>
    </row>
    <row r="25" spans="1:7" ht="53.5" x14ac:dyDescent="0.35">
      <c r="A25" s="18" t="s">
        <v>37</v>
      </c>
      <c r="B25" s="16"/>
      <c r="C25" s="16"/>
      <c r="D25" s="16"/>
      <c r="E25" s="16"/>
      <c r="F25" s="16" t="s">
        <v>638</v>
      </c>
      <c r="G25" s="16"/>
    </row>
    <row r="26" spans="1:7" ht="53" x14ac:dyDescent="0.35">
      <c r="A26" s="18" t="s">
        <v>38</v>
      </c>
      <c r="B26" s="16"/>
      <c r="C26" s="16"/>
      <c r="D26" s="16"/>
      <c r="F26" s="16" t="s">
        <v>637</v>
      </c>
      <c r="G26" s="16"/>
    </row>
    <row r="27" spans="1:7" ht="53" x14ac:dyDescent="0.35">
      <c r="A27" s="19" t="s">
        <v>39</v>
      </c>
      <c r="B27" s="16"/>
      <c r="C27" s="16"/>
      <c r="D27" s="16"/>
      <c r="E27" s="16"/>
      <c r="F27" s="16" t="s">
        <v>637</v>
      </c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121</v>
      </c>
      <c r="B30" s="36"/>
      <c r="C30" s="37"/>
      <c r="D30" s="22">
        <f>VLOOKUP(A30, Materias!A2:C180, 3, FALSE)</f>
        <v>4</v>
      </c>
      <c r="E30" s="41" t="s">
        <v>122</v>
      </c>
      <c r="F30" s="36"/>
      <c r="G30" s="37"/>
    </row>
    <row r="31" spans="1:7" ht="14.25" customHeight="1" x14ac:dyDescent="0.35">
      <c r="A31" s="35" t="s">
        <v>120</v>
      </c>
      <c r="B31" s="36"/>
      <c r="C31" s="37"/>
      <c r="D31" s="22">
        <f>VLOOKUP(A31, Materias!A2:C180, 3, FALSE)</f>
        <v>5</v>
      </c>
      <c r="E31" s="41" t="s">
        <v>133</v>
      </c>
      <c r="F31" s="36"/>
      <c r="G31" s="37"/>
    </row>
    <row r="32" spans="1:7" ht="14.25" customHeight="1" x14ac:dyDescent="0.35">
      <c r="A32" s="35" t="s">
        <v>107</v>
      </c>
      <c r="B32" s="36"/>
      <c r="C32" s="37"/>
      <c r="D32" s="22">
        <f>VLOOKUP(A32, Materias!A2:C180, 3, FALSE)</f>
        <v>5</v>
      </c>
      <c r="E32" s="41" t="s">
        <v>103</v>
      </c>
      <c r="F32" s="36"/>
      <c r="G32" s="37"/>
    </row>
    <row r="33" spans="1:7" ht="14.25" customHeight="1" x14ac:dyDescent="0.35">
      <c r="A33" s="35" t="s">
        <v>113</v>
      </c>
      <c r="B33" s="36"/>
      <c r="C33" s="37"/>
      <c r="D33" s="22">
        <f>VLOOKUP(A33, Materias!A2:C180, 3, FALSE)</f>
        <v>4</v>
      </c>
      <c r="E33" s="41" t="s">
        <v>102</v>
      </c>
      <c r="F33" s="36"/>
      <c r="G33" s="37"/>
    </row>
    <row r="34" spans="1:7" ht="14.25" customHeight="1" x14ac:dyDescent="0.35">
      <c r="A34" s="35" t="s">
        <v>106</v>
      </c>
      <c r="B34" s="36"/>
      <c r="C34" s="37"/>
      <c r="D34" s="22">
        <f>VLOOKUP(A34, Materias!A2:C180,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108</v>
      </c>
      <c r="B35" s="36"/>
      <c r="C35" s="37"/>
      <c r="D35" s="22">
        <f>VLOOKUP(A35, Materias!A2:C180, 3, FALSE)</f>
        <v>3</v>
      </c>
      <c r="E35" s="41" t="s">
        <v>101</v>
      </c>
      <c r="F35" s="36"/>
      <c r="G35" s="37"/>
    </row>
    <row r="36" spans="1:7" ht="14.25" customHeight="1" x14ac:dyDescent="0.35">
      <c r="A36" s="38" t="s">
        <v>55</v>
      </c>
      <c r="B36" s="36"/>
      <c r="C36" s="37"/>
      <c r="D36" s="21">
        <f>SUM(D30:D35)</f>
        <v>25</v>
      </c>
      <c r="E36" s="51"/>
      <c r="F36" s="36"/>
      <c r="G36" s="37"/>
    </row>
    <row r="37" spans="1:7" ht="14.25" customHeight="1" x14ac:dyDescent="0.35">
      <c r="A37" s="23"/>
      <c r="B37" s="23"/>
      <c r="C37" s="23"/>
      <c r="D37" s="24"/>
      <c r="E37" s="25"/>
      <c r="F37" s="25"/>
      <c r="G37" s="25"/>
    </row>
    <row r="38" spans="1:7" ht="15" customHeight="1" x14ac:dyDescent="0.35">
      <c r="A38" s="52" t="s">
        <v>56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50" t="s">
        <v>57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8">
    <mergeCell ref="A32:C32"/>
    <mergeCell ref="E32:G32"/>
    <mergeCell ref="A33:C33"/>
    <mergeCell ref="E33:G33"/>
    <mergeCell ref="A34:C34"/>
    <mergeCell ref="E34:G34"/>
    <mergeCell ref="A35:C35"/>
    <mergeCell ref="A36:C36"/>
    <mergeCell ref="E36:G36"/>
    <mergeCell ref="A38:G38"/>
    <mergeCell ref="A39:G39"/>
    <mergeCell ref="E35:G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7" xr:uid="{00000000-0002-0000-0700-000002000000}">
      <formula1>#REF!</formula1>
    </dataValidation>
  </dataValidations>
  <printOptions horizontalCentered="1"/>
  <pageMargins left="0.25" right="0.25" top="0.75" bottom="0.75" header="0" footer="0"/>
  <pageSetup scale="5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700-000000000000}">
          <x14:formula1>
            <xm:f>Docentes!$B$2:$B$304</xm:f>
          </x14:formula1>
          <xm:sqref>E30:E35</xm:sqref>
        </x14:dataValidation>
        <x14:dataValidation type="list" allowBlank="1" showErrorMessage="1" xr:uid="{00000000-0002-0000-0700-000001000000}">
          <x14:formula1>
            <xm:f>Materias!$A$131:$A$136</xm:f>
          </x14:formula1>
          <xm:sqref>A30:A35</xm:sqref>
        </x14:dataValidation>
        <x14:dataValidation type="list" allowBlank="1" xr:uid="{00000000-0002-0000-0700-000003000000}">
          <x14:formula1>
            <xm:f>Materias!$A$131:$A$136</xm:f>
          </x14:formula1>
          <xm:sqref>B27:G27 B26:D26 F26:G26 B13:G25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E125-8444-42D6-A642-30EEDBB1D605}">
  <sheetPr codeName="Hoja35">
    <tabColor rgb="FF92D050"/>
    <pageSetUpPr fitToPage="1"/>
  </sheetPr>
  <dimension ref="A1:G1000"/>
  <sheetViews>
    <sheetView view="pageBreakPreview" topLeftCell="A20" zoomScale="60" zoomScaleNormal="50" workbookViewId="0">
      <selection activeCell="A38" sqref="A38:XFD38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512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514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4" x14ac:dyDescent="0.35">
      <c r="A13" s="18" t="s">
        <v>16</v>
      </c>
      <c r="B13" s="16" t="s">
        <v>517</v>
      </c>
      <c r="C13" s="16"/>
      <c r="D13" s="16"/>
      <c r="E13" s="16" t="s">
        <v>517</v>
      </c>
      <c r="F13" s="14" t="s">
        <v>305</v>
      </c>
      <c r="G13" s="16"/>
    </row>
    <row r="14" spans="1:7" ht="54" x14ac:dyDescent="0.35">
      <c r="A14" s="18" t="s">
        <v>20</v>
      </c>
      <c r="B14" s="16" t="s">
        <v>518</v>
      </c>
      <c r="C14" s="16" t="s">
        <v>519</v>
      </c>
      <c r="D14" s="16" t="s">
        <v>518</v>
      </c>
      <c r="E14" s="16" t="s">
        <v>519</v>
      </c>
      <c r="F14" s="14" t="s">
        <v>305</v>
      </c>
      <c r="G14" s="16"/>
    </row>
    <row r="15" spans="1:7" ht="53" x14ac:dyDescent="0.35">
      <c r="A15" s="18" t="s">
        <v>21</v>
      </c>
      <c r="B15" s="16" t="s">
        <v>518</v>
      </c>
      <c r="C15" s="16" t="s">
        <v>519</v>
      </c>
      <c r="D15" s="16" t="s">
        <v>518</v>
      </c>
      <c r="E15" s="16" t="s">
        <v>519</v>
      </c>
      <c r="F15" s="16" t="s">
        <v>519</v>
      </c>
      <c r="G15" s="16"/>
    </row>
    <row r="16" spans="1:7" ht="31" x14ac:dyDescent="0.35">
      <c r="A16" s="18" t="s">
        <v>24</v>
      </c>
      <c r="B16" s="13" t="s">
        <v>289</v>
      </c>
      <c r="C16" s="13" t="s">
        <v>289</v>
      </c>
      <c r="D16" s="13" t="s">
        <v>289</v>
      </c>
      <c r="E16" s="13" t="s">
        <v>289</v>
      </c>
      <c r="F16" s="13" t="s">
        <v>289</v>
      </c>
      <c r="G16" s="16"/>
    </row>
    <row r="17" spans="1:7" ht="70.5" x14ac:dyDescent="0.35">
      <c r="A17" s="18" t="s">
        <v>26</v>
      </c>
      <c r="B17" s="16" t="s">
        <v>520</v>
      </c>
      <c r="C17" s="16" t="s">
        <v>521</v>
      </c>
      <c r="D17" s="16" t="s">
        <v>517</v>
      </c>
      <c r="E17" s="16" t="s">
        <v>530</v>
      </c>
      <c r="F17" s="16" t="s">
        <v>530</v>
      </c>
      <c r="G17" s="16"/>
    </row>
    <row r="18" spans="1:7" ht="70.5" x14ac:dyDescent="0.35">
      <c r="A18" s="18" t="s">
        <v>29</v>
      </c>
      <c r="B18" s="16" t="s">
        <v>530</v>
      </c>
      <c r="C18" s="16" t="s">
        <v>521</v>
      </c>
      <c r="D18" s="16" t="s">
        <v>522</v>
      </c>
      <c r="E18" s="16" t="s">
        <v>520</v>
      </c>
      <c r="F18" s="16" t="s">
        <v>530</v>
      </c>
      <c r="G18" s="16"/>
    </row>
    <row r="19" spans="1:7" ht="70.5" x14ac:dyDescent="0.35">
      <c r="A19" s="18" t="s">
        <v>31</v>
      </c>
      <c r="B19" s="16" t="s">
        <v>530</v>
      </c>
      <c r="C19" s="16" t="s">
        <v>521</v>
      </c>
      <c r="D19" s="16" t="s">
        <v>521</v>
      </c>
      <c r="E19" s="16" t="s">
        <v>518</v>
      </c>
      <c r="F19" s="16" t="s">
        <v>530</v>
      </c>
      <c r="G19" s="16"/>
    </row>
    <row r="20" spans="1:7" ht="70.5" x14ac:dyDescent="0.35">
      <c r="A20" s="18" t="s">
        <v>32</v>
      </c>
      <c r="B20" s="16" t="s">
        <v>530</v>
      </c>
      <c r="C20" s="16"/>
      <c r="D20" s="16"/>
      <c r="E20" s="16" t="s">
        <v>518</v>
      </c>
      <c r="F20" s="16" t="s">
        <v>520</v>
      </c>
      <c r="G20" s="16"/>
    </row>
    <row r="21" spans="1:7" ht="53" x14ac:dyDescent="0.35">
      <c r="A21" s="18" t="s">
        <v>33</v>
      </c>
      <c r="B21" s="16"/>
      <c r="C21" s="16"/>
      <c r="D21" s="16"/>
      <c r="E21" s="16" t="s">
        <v>518</v>
      </c>
      <c r="F21" s="16" t="s">
        <v>520</v>
      </c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 t="s">
        <v>549</v>
      </c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289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292</v>
      </c>
      <c r="B31" s="36"/>
      <c r="C31" s="37"/>
      <c r="D31" s="22">
        <f>VLOOKUP(A31, Materias!A2:C180, 3, FALSE)</f>
        <v>4</v>
      </c>
      <c r="E31" s="41" t="s">
        <v>141</v>
      </c>
      <c r="F31" s="36"/>
      <c r="G31" s="37"/>
    </row>
    <row r="32" spans="1:7" ht="14.25" customHeight="1" x14ac:dyDescent="0.35">
      <c r="A32" s="35" t="s">
        <v>294</v>
      </c>
      <c r="B32" s="36"/>
      <c r="C32" s="37"/>
      <c r="D32" s="22">
        <f>VLOOKUP(A32, Materias!A2:C180, 3, FALSE)</f>
        <v>7</v>
      </c>
      <c r="E32" s="41" t="s">
        <v>51</v>
      </c>
      <c r="F32" s="36"/>
      <c r="G32" s="37"/>
    </row>
    <row r="33" spans="1:7" ht="14.25" customHeight="1" x14ac:dyDescent="0.35">
      <c r="A33" s="35" t="s">
        <v>316</v>
      </c>
      <c r="B33" s="36"/>
      <c r="C33" s="37"/>
      <c r="D33" s="22">
        <f>VLOOKUP(A33, Materias!A2:C180, 3, FALSE)</f>
        <v>7</v>
      </c>
      <c r="E33" s="41" t="s">
        <v>146</v>
      </c>
      <c r="F33" s="36"/>
      <c r="G33" s="37"/>
    </row>
    <row r="34" spans="1:7" ht="14.25" customHeight="1" x14ac:dyDescent="0.35">
      <c r="A34" s="35" t="s">
        <v>318</v>
      </c>
      <c r="B34" s="36"/>
      <c r="C34" s="37"/>
      <c r="D34" s="22">
        <f>VLOOKUP(A34, Materias!A2:C180, 3, FALSE)</f>
        <v>4</v>
      </c>
      <c r="E34" s="41" t="s">
        <v>163</v>
      </c>
      <c r="F34" s="36"/>
      <c r="G34" s="37"/>
    </row>
    <row r="35" spans="1:7" ht="14.25" customHeight="1" x14ac:dyDescent="0.35">
      <c r="A35" s="35" t="s">
        <v>320</v>
      </c>
      <c r="B35" s="36"/>
      <c r="C35" s="37"/>
      <c r="D35" s="22">
        <f>VLOOKUP(A35, Materias!A2:C180, 3, FALSE)</f>
        <v>3</v>
      </c>
      <c r="E35" s="41" t="s">
        <v>190</v>
      </c>
      <c r="F35" s="36"/>
      <c r="G35" s="37"/>
    </row>
    <row r="36" spans="1:7" ht="14.25" customHeight="1" x14ac:dyDescent="0.35">
      <c r="A36" s="35" t="s">
        <v>302</v>
      </c>
      <c r="B36" s="36"/>
      <c r="C36" s="37"/>
      <c r="D36" s="22">
        <f>VLOOKUP(A36, Materias!A2:C180, 3, FALSE)</f>
        <v>5</v>
      </c>
      <c r="E36" s="41" t="s">
        <v>166</v>
      </c>
      <c r="F36" s="36"/>
      <c r="G36" s="37"/>
    </row>
    <row r="37" spans="1:7" ht="14.25" customHeight="1" x14ac:dyDescent="0.35">
      <c r="A37" s="35" t="s">
        <v>304</v>
      </c>
      <c r="B37" s="36"/>
      <c r="C37" s="37"/>
      <c r="D37" s="22">
        <f>VLOOKUP(A37, Materias!A2:C180, 3, FALSE)</f>
        <v>1</v>
      </c>
      <c r="E37" s="41" t="s">
        <v>513</v>
      </c>
      <c r="F37" s="36"/>
      <c r="G37" s="37"/>
    </row>
    <row r="38" spans="1:7" ht="14.25" customHeight="1" x14ac:dyDescent="0.35">
      <c r="A38" s="35" t="s">
        <v>305</v>
      </c>
      <c r="B38" s="36"/>
      <c r="C38" s="37"/>
      <c r="D38" s="22">
        <f>VLOOKUP(A38, Materias!A2:C180, 3, FALSE)</f>
        <v>2</v>
      </c>
      <c r="E38" s="41" t="s">
        <v>54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38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56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3:G3"/>
    <mergeCell ref="A5:G5"/>
    <mergeCell ref="A6:G6"/>
    <mergeCell ref="A7:G7"/>
    <mergeCell ref="A8:D8"/>
    <mergeCell ref="E8:G8"/>
    <mergeCell ref="A9:B9"/>
    <mergeCell ref="C9:G9"/>
    <mergeCell ref="A10:G10"/>
    <mergeCell ref="A28:B28"/>
    <mergeCell ref="A29:C29"/>
    <mergeCell ref="E29:G29"/>
    <mergeCell ref="A30:C30"/>
    <mergeCell ref="E30:G30"/>
    <mergeCell ref="A31:C31"/>
    <mergeCell ref="E31:G31"/>
    <mergeCell ref="A32:C32"/>
    <mergeCell ref="E32:G32"/>
    <mergeCell ref="A33:C33"/>
    <mergeCell ref="E33:G33"/>
    <mergeCell ref="A34:C34"/>
    <mergeCell ref="E34:G34"/>
    <mergeCell ref="A35:C35"/>
    <mergeCell ref="E35:G35"/>
    <mergeCell ref="A39:C39"/>
    <mergeCell ref="E39:G39"/>
    <mergeCell ref="A41:G41"/>
    <mergeCell ref="A42:G42"/>
    <mergeCell ref="A36:C36"/>
    <mergeCell ref="E36:G36"/>
    <mergeCell ref="A37:C37"/>
    <mergeCell ref="E37:G37"/>
    <mergeCell ref="A38:C38"/>
    <mergeCell ref="E38:G38"/>
  </mergeCells>
  <dataValidations count="1">
    <dataValidation type="list" allowBlank="1" showErrorMessage="1" sqref="E40" xr:uid="{CA42AE37-9158-4AFC-9E91-5BC8150DE0A0}">
      <formula1>#REF!</formula1>
    </dataValidation>
  </dataValidations>
  <printOptions horizontalCentered="1"/>
  <pageMargins left="0.25" right="0.25" top="0.75" bottom="0.75" header="0" footer="0"/>
  <pageSetup scale="6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F1D515AE-CE9D-4868-89A1-E715D51D7195}">
          <x14:formula1>
            <xm:f>Materias!$A$20:$A$28</xm:f>
          </x14:formula1>
          <xm:sqref>B13:G27</xm:sqref>
        </x14:dataValidation>
        <x14:dataValidation type="list" allowBlank="1" xr:uid="{CFCFC1CB-59E0-4EF5-8E09-DFF54005CE32}">
          <x14:formula1>
            <xm:f>Docentes!$B$2:$B$304</xm:f>
          </x14:formula1>
          <xm:sqref>E30:E38</xm:sqref>
        </x14:dataValidation>
        <x14:dataValidation type="list" allowBlank="1" showErrorMessage="1" xr:uid="{50BB905A-30CC-4F4B-91A3-0CB210D01CBC}">
          <x14:formula1>
            <xm:f>Materias!$A$20:$A$28</xm:f>
          </x14:formula1>
          <xm:sqref>A30:C38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92D050"/>
    <pageSetUpPr fitToPage="1"/>
  </sheetPr>
  <dimension ref="A1:G1000"/>
  <sheetViews>
    <sheetView view="pageBreakPreview" topLeftCell="A16" zoomScale="60" zoomScaleNormal="50" workbookViewId="0">
      <selection activeCell="I29" sqref="I29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135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462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4" x14ac:dyDescent="0.35">
      <c r="A13" s="18" t="s">
        <v>16</v>
      </c>
      <c r="B13" s="16"/>
      <c r="C13" s="16"/>
      <c r="D13" s="16" t="s">
        <v>550</v>
      </c>
      <c r="E13" s="16"/>
      <c r="F13" s="14" t="s">
        <v>19</v>
      </c>
      <c r="G13" s="16"/>
    </row>
    <row r="14" spans="1:7" ht="88" x14ac:dyDescent="0.35">
      <c r="A14" s="18" t="s">
        <v>20</v>
      </c>
      <c r="B14" s="16" t="s">
        <v>523</v>
      </c>
      <c r="C14" s="16" t="s">
        <v>523</v>
      </c>
      <c r="D14" s="16" t="s">
        <v>550</v>
      </c>
      <c r="E14" s="27" t="s">
        <v>542</v>
      </c>
      <c r="F14" s="14" t="s">
        <v>19</v>
      </c>
      <c r="G14" s="16"/>
    </row>
    <row r="15" spans="1:7" ht="88" x14ac:dyDescent="0.35">
      <c r="A15" s="18" t="s">
        <v>21</v>
      </c>
      <c r="B15" s="16" t="s">
        <v>523</v>
      </c>
      <c r="C15" s="16" t="s">
        <v>523</v>
      </c>
      <c r="D15" s="16" t="s">
        <v>550</v>
      </c>
      <c r="E15" s="27" t="s">
        <v>542</v>
      </c>
      <c r="F15" s="16" t="s">
        <v>597</v>
      </c>
      <c r="G15" s="16"/>
    </row>
    <row r="16" spans="1:7" ht="31" x14ac:dyDescent="0.35">
      <c r="A16" s="18" t="s">
        <v>24</v>
      </c>
      <c r="B16" s="13" t="s">
        <v>25</v>
      </c>
      <c r="C16" s="13" t="s">
        <v>25</v>
      </c>
      <c r="D16" s="13" t="s">
        <v>25</v>
      </c>
      <c r="E16" s="13" t="s">
        <v>25</v>
      </c>
      <c r="F16" s="13" t="s">
        <v>25</v>
      </c>
      <c r="G16" s="16"/>
    </row>
    <row r="17" spans="1:7" ht="35.5" x14ac:dyDescent="0.35">
      <c r="A17" s="18" t="s">
        <v>26</v>
      </c>
      <c r="B17" s="16" t="s">
        <v>526</v>
      </c>
      <c r="C17" s="16" t="s">
        <v>525</v>
      </c>
      <c r="D17" s="16" t="s">
        <v>526</v>
      </c>
      <c r="E17" s="16" t="s">
        <v>597</v>
      </c>
      <c r="F17" s="16" t="s">
        <v>526</v>
      </c>
      <c r="G17" s="16"/>
    </row>
    <row r="18" spans="1:7" ht="88" x14ac:dyDescent="0.35">
      <c r="A18" s="18" t="s">
        <v>29</v>
      </c>
      <c r="B18" s="16" t="s">
        <v>526</v>
      </c>
      <c r="C18" s="16" t="s">
        <v>525</v>
      </c>
      <c r="D18" s="16" t="s">
        <v>526</v>
      </c>
      <c r="E18" s="16" t="s">
        <v>597</v>
      </c>
      <c r="F18" s="16" t="s">
        <v>541</v>
      </c>
      <c r="G18" s="16"/>
    </row>
    <row r="19" spans="1:7" ht="88" x14ac:dyDescent="0.35">
      <c r="A19" s="18" t="s">
        <v>31</v>
      </c>
      <c r="B19" s="16" t="s">
        <v>597</v>
      </c>
      <c r="C19" s="16" t="s">
        <v>525</v>
      </c>
      <c r="D19" s="16" t="s">
        <v>523</v>
      </c>
      <c r="E19" s="16" t="s">
        <v>597</v>
      </c>
      <c r="F19" s="16" t="s">
        <v>541</v>
      </c>
      <c r="G19" s="16"/>
    </row>
    <row r="20" spans="1:7" ht="53" x14ac:dyDescent="0.35">
      <c r="A20" s="18" t="s">
        <v>32</v>
      </c>
      <c r="B20" s="16" t="s">
        <v>597</v>
      </c>
      <c r="C20" s="16" t="s">
        <v>532</v>
      </c>
      <c r="D20" s="16" t="s">
        <v>523</v>
      </c>
      <c r="E20" s="16" t="s">
        <v>532</v>
      </c>
      <c r="F20" s="16" t="s">
        <v>527</v>
      </c>
      <c r="G20" s="16"/>
    </row>
    <row r="21" spans="1:7" ht="36" x14ac:dyDescent="0.35">
      <c r="A21" s="18" t="s">
        <v>33</v>
      </c>
      <c r="B21" s="28" t="s">
        <v>657</v>
      </c>
      <c r="C21" s="16"/>
      <c r="D21" s="28" t="s">
        <v>657</v>
      </c>
      <c r="E21" s="16"/>
      <c r="F21" s="15" t="s">
        <v>516</v>
      </c>
      <c r="G21" s="16"/>
    </row>
    <row r="22" spans="1:7" ht="35.5" x14ac:dyDescent="0.35">
      <c r="A22" s="18" t="s">
        <v>34</v>
      </c>
      <c r="B22" s="28" t="s">
        <v>657</v>
      </c>
      <c r="C22" s="28" t="s">
        <v>657</v>
      </c>
      <c r="D22" s="16"/>
      <c r="E22" s="16"/>
      <c r="F22" s="28" t="s">
        <v>657</v>
      </c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141</v>
      </c>
      <c r="F31" s="36"/>
      <c r="G31" s="37"/>
    </row>
    <row r="32" spans="1:7" ht="14.25" customHeight="1" x14ac:dyDescent="0.35">
      <c r="A32" s="35" t="s">
        <v>136</v>
      </c>
      <c r="B32" s="36"/>
      <c r="C32" s="37"/>
      <c r="D32" s="22">
        <f>VLOOKUP(A32, Materias!A2:C180, 3, FALSE)</f>
        <v>5</v>
      </c>
      <c r="E32" s="41" t="s">
        <v>142</v>
      </c>
      <c r="F32" s="36"/>
      <c r="G32" s="37"/>
    </row>
    <row r="33" spans="1:7" ht="14.25" customHeight="1" x14ac:dyDescent="0.35">
      <c r="A33" s="35" t="s">
        <v>138</v>
      </c>
      <c r="B33" s="36"/>
      <c r="C33" s="37"/>
      <c r="D33" s="22">
        <f>VLOOKUP(A33, Materias!A2:C180, 3, FALSE)</f>
        <v>6</v>
      </c>
      <c r="E33" s="41" t="s">
        <v>143</v>
      </c>
      <c r="F33" s="36"/>
      <c r="G33" s="37"/>
    </row>
    <row r="34" spans="1:7" ht="14.25" customHeight="1" x14ac:dyDescent="0.35">
      <c r="A34" s="35" t="s">
        <v>139</v>
      </c>
      <c r="B34" s="36"/>
      <c r="C34" s="37"/>
      <c r="D34" s="22">
        <f>VLOOKUP(A34, Materias!A2:C180, 3, FALSE)</f>
        <v>5</v>
      </c>
      <c r="E34" s="41" t="s">
        <v>144</v>
      </c>
      <c r="F34" s="36"/>
      <c r="G34" s="37"/>
    </row>
    <row r="35" spans="1:7" ht="14.25" customHeight="1" x14ac:dyDescent="0.35">
      <c r="A35" s="35" t="s">
        <v>137</v>
      </c>
      <c r="B35" s="36"/>
      <c r="C35" s="37"/>
      <c r="D35" s="22">
        <f>VLOOKUP(A35, Materias!A2:C180, 3, FALSE)</f>
        <v>7</v>
      </c>
      <c r="E35" s="41" t="s">
        <v>145</v>
      </c>
      <c r="F35" s="36"/>
      <c r="G35" s="37"/>
    </row>
    <row r="36" spans="1:7" ht="14.25" customHeight="1" x14ac:dyDescent="0.35">
      <c r="A36" s="35" t="s">
        <v>140</v>
      </c>
      <c r="B36" s="36"/>
      <c r="C36" s="37"/>
      <c r="D36" s="22">
        <f>VLOOKUP(A36, Materias!A2:C180, 3, FALSE)</f>
        <v>3</v>
      </c>
      <c r="E36" s="41" t="s">
        <v>146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145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Materias!A1:C179, 3, FALSE)</f>
        <v>2</v>
      </c>
      <c r="E38" s="41" t="s">
        <v>54</v>
      </c>
      <c r="F38" s="36"/>
      <c r="G38" s="37"/>
    </row>
    <row r="39" spans="1:7" ht="14.25" customHeight="1" x14ac:dyDescent="0.35">
      <c r="A39" s="35" t="s">
        <v>658</v>
      </c>
      <c r="B39" s="36"/>
      <c r="C39" s="37"/>
      <c r="D39" s="22">
        <v>5</v>
      </c>
      <c r="E39" s="41" t="s">
        <v>660</v>
      </c>
      <c r="F39" s="36"/>
      <c r="G39" s="37"/>
    </row>
    <row r="40" spans="1:7" ht="14.25" customHeight="1" x14ac:dyDescent="0.35">
      <c r="A40" s="38" t="s">
        <v>55</v>
      </c>
      <c r="B40" s="36"/>
      <c r="C40" s="37"/>
      <c r="D40" s="21">
        <f>SUM(D30:D38)</f>
        <v>38</v>
      </c>
      <c r="E40" s="51"/>
      <c r="F40" s="36"/>
      <c r="G40" s="37"/>
    </row>
    <row r="41" spans="1:7" ht="15" customHeight="1" x14ac:dyDescent="0.35">
      <c r="A41" s="23"/>
      <c r="B41" s="23"/>
      <c r="C41" s="23"/>
      <c r="D41" s="24"/>
      <c r="E41" s="25"/>
      <c r="F41" s="25"/>
      <c r="G41" s="25"/>
    </row>
    <row r="42" spans="1:7" ht="14.25" customHeight="1" x14ac:dyDescent="0.35">
      <c r="A42" s="52" t="s">
        <v>56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50" t="s">
        <v>57</v>
      </c>
      <c r="B43" s="30"/>
      <c r="C43" s="30"/>
      <c r="D43" s="30"/>
      <c r="E43" s="30"/>
      <c r="F43" s="30"/>
      <c r="G43" s="30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>
      <c r="A45" s="11"/>
      <c r="B45" s="11"/>
      <c r="C45" s="11"/>
      <c r="D45" s="11"/>
      <c r="E45" s="11"/>
      <c r="F45" s="8"/>
      <c r="G45" s="8"/>
    </row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6">
    <mergeCell ref="A43:G43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9:G39"/>
    <mergeCell ref="E40:G40"/>
    <mergeCell ref="A42:G42"/>
    <mergeCell ref="A35:C35"/>
    <mergeCell ref="A36:C36"/>
    <mergeCell ref="A37:C37"/>
    <mergeCell ref="A39:C39"/>
    <mergeCell ref="A40:C40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8:C38"/>
    <mergeCell ref="E38:G38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1" xr:uid="{00000000-0002-0000-0800-000003000000}">
      <formula1>#REF!</formula1>
    </dataValidation>
  </dataValidations>
  <printOptions horizontalCentered="1"/>
  <pageMargins left="0.25" right="0.25" top="0.75" bottom="0.75" header="0" footer="0"/>
  <pageSetup scale="5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800-000002000000}">
          <x14:formula1>
            <xm:f>Materias!$A$29:$A$37</xm:f>
          </x14:formula1>
          <xm:sqref>B13:G27 A39:C39</xm:sqref>
        </x14:dataValidation>
        <x14:dataValidation type="list" allowBlank="1" showErrorMessage="1" xr:uid="{00000000-0002-0000-0800-000000000000}">
          <x14:formula1>
            <xm:f>Materias!$A$29:$A$37</xm:f>
          </x14:formula1>
          <xm:sqref>A30:A38</xm:sqref>
        </x14:dataValidation>
        <x14:dataValidation type="list" allowBlank="1" xr:uid="{00000000-0002-0000-0800-000001000000}">
          <x14:formula1>
            <xm:f>Docentes!$B$2:$B$304</xm:f>
          </x14:formula1>
          <xm:sqref>E30:E39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92D050"/>
    <pageSetUpPr fitToPage="1"/>
  </sheetPr>
  <dimension ref="A1:G1001"/>
  <sheetViews>
    <sheetView view="pageBreakPreview" topLeftCell="A22" zoomScale="60" zoomScaleNormal="50" workbookViewId="0">
      <selection activeCell="J31" sqref="J31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147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463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4" x14ac:dyDescent="0.35">
      <c r="A13" s="18" t="s">
        <v>16</v>
      </c>
      <c r="B13" s="16" t="s">
        <v>527</v>
      </c>
      <c r="C13" s="16"/>
      <c r="D13" s="16"/>
      <c r="E13" s="16"/>
      <c r="F13" s="14" t="s">
        <v>53</v>
      </c>
      <c r="G13" s="16"/>
    </row>
    <row r="14" spans="1:7" ht="54" x14ac:dyDescent="0.35">
      <c r="A14" s="18" t="s">
        <v>20</v>
      </c>
      <c r="B14" s="16" t="s">
        <v>527</v>
      </c>
      <c r="C14" s="15" t="s">
        <v>515</v>
      </c>
      <c r="D14" s="16" t="s">
        <v>527</v>
      </c>
      <c r="E14" s="16" t="s">
        <v>526</v>
      </c>
      <c r="F14" s="14" t="s">
        <v>53</v>
      </c>
      <c r="G14" s="16"/>
    </row>
    <row r="15" spans="1:7" ht="53" x14ac:dyDescent="0.35">
      <c r="A15" s="18" t="s">
        <v>21</v>
      </c>
      <c r="B15" s="16" t="s">
        <v>527</v>
      </c>
      <c r="C15" s="16" t="s">
        <v>528</v>
      </c>
      <c r="D15" s="16" t="s">
        <v>556</v>
      </c>
      <c r="E15" s="16" t="s">
        <v>526</v>
      </c>
      <c r="F15" s="16" t="s">
        <v>526</v>
      </c>
      <c r="G15" s="16"/>
    </row>
    <row r="16" spans="1:7" ht="31" x14ac:dyDescent="0.35">
      <c r="A16" s="18" t="s">
        <v>24</v>
      </c>
      <c r="B16" s="13" t="s">
        <v>45</v>
      </c>
      <c r="C16" s="13" t="s">
        <v>45</v>
      </c>
      <c r="D16" s="13" t="s">
        <v>45</v>
      </c>
      <c r="E16" s="13" t="s">
        <v>45</v>
      </c>
      <c r="F16" s="13" t="s">
        <v>45</v>
      </c>
      <c r="G16" s="16"/>
    </row>
    <row r="17" spans="1:7" ht="88" x14ac:dyDescent="0.35">
      <c r="A17" s="18" t="s">
        <v>26</v>
      </c>
      <c r="B17" s="16" t="s">
        <v>524</v>
      </c>
      <c r="C17" s="16" t="s">
        <v>581</v>
      </c>
      <c r="D17" s="16" t="s">
        <v>541</v>
      </c>
      <c r="E17" s="16" t="s">
        <v>541</v>
      </c>
      <c r="F17" s="16" t="s">
        <v>524</v>
      </c>
      <c r="G17" s="16"/>
    </row>
    <row r="18" spans="1:7" ht="88" x14ac:dyDescent="0.35">
      <c r="A18" s="18" t="s">
        <v>29</v>
      </c>
      <c r="B18" s="16" t="s">
        <v>524</v>
      </c>
      <c r="C18" s="16" t="s">
        <v>581</v>
      </c>
      <c r="D18" s="16" t="s">
        <v>541</v>
      </c>
      <c r="E18" s="16" t="s">
        <v>541</v>
      </c>
      <c r="F18" s="16" t="s">
        <v>524</v>
      </c>
      <c r="G18" s="16"/>
    </row>
    <row r="19" spans="1:7" ht="53" x14ac:dyDescent="0.35">
      <c r="A19" s="18" t="s">
        <v>31</v>
      </c>
      <c r="B19" s="16" t="s">
        <v>526</v>
      </c>
      <c r="C19" s="16" t="s">
        <v>581</v>
      </c>
      <c r="D19" s="16" t="s">
        <v>526</v>
      </c>
      <c r="E19" s="16" t="s">
        <v>556</v>
      </c>
      <c r="F19" s="16" t="s">
        <v>572</v>
      </c>
      <c r="G19" s="16"/>
    </row>
    <row r="20" spans="1:7" ht="53" x14ac:dyDescent="0.35">
      <c r="A20" s="18" t="s">
        <v>32</v>
      </c>
      <c r="B20" s="16" t="s">
        <v>529</v>
      </c>
      <c r="C20" s="16" t="s">
        <v>524</v>
      </c>
      <c r="D20" s="16" t="s">
        <v>528</v>
      </c>
      <c r="E20" s="16" t="s">
        <v>556</v>
      </c>
      <c r="F20" s="16" t="s">
        <v>572</v>
      </c>
      <c r="G20" s="16"/>
    </row>
    <row r="21" spans="1:7" ht="53" x14ac:dyDescent="0.35">
      <c r="A21" s="18" t="s">
        <v>33</v>
      </c>
      <c r="B21" s="28" t="s">
        <v>657</v>
      </c>
      <c r="C21" s="16" t="s">
        <v>524</v>
      </c>
      <c r="D21" s="28" t="s">
        <v>657</v>
      </c>
      <c r="E21" s="16"/>
      <c r="F21" s="16"/>
      <c r="G21" s="16"/>
    </row>
    <row r="22" spans="1:7" ht="35.5" x14ac:dyDescent="0.35">
      <c r="A22" s="18" t="s">
        <v>34</v>
      </c>
      <c r="B22" s="28" t="s">
        <v>657</v>
      </c>
      <c r="C22" s="28" t="s">
        <v>657</v>
      </c>
      <c r="D22" s="16"/>
      <c r="E22" s="16"/>
      <c r="F22" s="28" t="s">
        <v>657</v>
      </c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141</v>
      </c>
      <c r="F31" s="36"/>
      <c r="G31" s="37"/>
    </row>
    <row r="32" spans="1:7" ht="14.25" customHeight="1" x14ac:dyDescent="0.35">
      <c r="A32" s="35" t="s">
        <v>136</v>
      </c>
      <c r="B32" s="36"/>
      <c r="C32" s="37"/>
      <c r="D32" s="22">
        <f>VLOOKUP(A32, Materias!A2:C180, 3, FALSE)</f>
        <v>5</v>
      </c>
      <c r="E32" s="41" t="s">
        <v>142</v>
      </c>
      <c r="F32" s="36"/>
      <c r="G32" s="37"/>
    </row>
    <row r="33" spans="1:7" ht="14.25" customHeight="1" x14ac:dyDescent="0.35">
      <c r="A33" s="35" t="s">
        <v>138</v>
      </c>
      <c r="B33" s="36"/>
      <c r="C33" s="37"/>
      <c r="D33" s="22">
        <f>VLOOKUP(A33, Materias!A2:C180, 3, FALSE)</f>
        <v>6</v>
      </c>
      <c r="E33" s="41" t="s">
        <v>143</v>
      </c>
      <c r="F33" s="36"/>
      <c r="G33" s="37"/>
    </row>
    <row r="34" spans="1:7" ht="14.25" customHeight="1" x14ac:dyDescent="0.35">
      <c r="A34" s="35" t="s">
        <v>139</v>
      </c>
      <c r="B34" s="36"/>
      <c r="C34" s="37"/>
      <c r="D34" s="22">
        <f>VLOOKUP(A34, Materias!A2:C180, 3, FALSE)</f>
        <v>5</v>
      </c>
      <c r="E34" s="41" t="s">
        <v>144</v>
      </c>
      <c r="F34" s="36"/>
      <c r="G34" s="37"/>
    </row>
    <row r="35" spans="1:7" ht="14.25" customHeight="1" x14ac:dyDescent="0.35">
      <c r="A35" s="35" t="s">
        <v>137</v>
      </c>
      <c r="B35" s="36"/>
      <c r="C35" s="37"/>
      <c r="D35" s="22">
        <f>VLOOKUP(A35, Materias!A2:C180, 3, FALSE)</f>
        <v>7</v>
      </c>
      <c r="E35" s="41" t="s">
        <v>148</v>
      </c>
      <c r="F35" s="36"/>
      <c r="G35" s="37"/>
    </row>
    <row r="36" spans="1:7" ht="14.25" customHeight="1" x14ac:dyDescent="0.35">
      <c r="A36" s="35" t="s">
        <v>140</v>
      </c>
      <c r="B36" s="36"/>
      <c r="C36" s="37"/>
      <c r="D36" s="22">
        <f>VLOOKUP(A36, Materias!A2:C180, 3, FALSE)</f>
        <v>3</v>
      </c>
      <c r="E36" s="41" t="s">
        <v>146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142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Materias!A1:C179, 3, FALSE)</f>
        <v>2</v>
      </c>
      <c r="E38" s="41" t="s">
        <v>54</v>
      </c>
      <c r="F38" s="36"/>
      <c r="G38" s="37"/>
    </row>
    <row r="39" spans="1:7" ht="14.25" customHeight="1" x14ac:dyDescent="0.35">
      <c r="A39" s="35" t="s">
        <v>658</v>
      </c>
      <c r="B39" s="36"/>
      <c r="C39" s="37"/>
      <c r="D39" s="22">
        <v>5</v>
      </c>
      <c r="E39" s="41" t="s">
        <v>660</v>
      </c>
      <c r="F39" s="36"/>
      <c r="G39" s="37"/>
    </row>
    <row r="40" spans="1:7" ht="14.25" customHeight="1" x14ac:dyDescent="0.35">
      <c r="A40" s="38" t="s">
        <v>55</v>
      </c>
      <c r="B40" s="36"/>
      <c r="C40" s="37"/>
      <c r="D40" s="21">
        <f>SUM(D30:D38)</f>
        <v>38</v>
      </c>
      <c r="E40" s="51"/>
      <c r="F40" s="36"/>
      <c r="G40" s="37"/>
    </row>
    <row r="41" spans="1:7" ht="14.25" customHeight="1" x14ac:dyDescent="0.35">
      <c r="A41" s="23"/>
      <c r="B41" s="23"/>
      <c r="C41" s="23"/>
      <c r="D41" s="24"/>
      <c r="E41" s="25"/>
      <c r="F41" s="25"/>
      <c r="G41" s="25"/>
    </row>
    <row r="42" spans="1:7" ht="15" customHeight="1" x14ac:dyDescent="0.35">
      <c r="A42" s="52" t="s">
        <v>56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50" t="s">
        <v>57</v>
      </c>
      <c r="B43" s="30"/>
      <c r="C43" s="30"/>
      <c r="D43" s="30"/>
      <c r="E43" s="30"/>
      <c r="F43" s="30"/>
      <c r="G43" s="30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>
      <c r="A45" s="11"/>
      <c r="B45" s="11"/>
      <c r="C45" s="11"/>
      <c r="D45" s="11"/>
      <c r="E45" s="11"/>
      <c r="F45" s="8"/>
      <c r="G45" s="8"/>
    </row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mergeCells count="36">
    <mergeCell ref="A43:G43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9:G39"/>
    <mergeCell ref="E40:G40"/>
    <mergeCell ref="A42:G42"/>
    <mergeCell ref="A35:C35"/>
    <mergeCell ref="A36:C36"/>
    <mergeCell ref="A37:C37"/>
    <mergeCell ref="A39:C39"/>
    <mergeCell ref="A40:C40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8:C38"/>
    <mergeCell ref="E38:G38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1" xr:uid="{00000000-0002-0000-0900-000003000000}">
      <formula1>#REF!</formula1>
    </dataValidation>
  </dataValidations>
  <printOptions horizontalCentered="1"/>
  <pageMargins left="0.25" right="0.25" top="0.75" bottom="0.75" header="0" footer="0"/>
  <pageSetup scale="6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900-000000000000}">
          <x14:formula1>
            <xm:f>Materias!$A$29:$A$37</xm:f>
          </x14:formula1>
          <xm:sqref>A30:A38</xm:sqref>
        </x14:dataValidation>
        <x14:dataValidation type="list" allowBlank="1" xr:uid="{00000000-0002-0000-0900-000001000000}">
          <x14:formula1>
            <xm:f>Docentes!$B$2:$B$304</xm:f>
          </x14:formula1>
          <xm:sqref>E30:E39</xm:sqref>
        </x14:dataValidation>
        <x14:dataValidation type="list" allowBlank="1" xr:uid="{00000000-0002-0000-0900-000002000000}">
          <x14:formula1>
            <xm:f>Materias!$A$29:$A$37</xm:f>
          </x14:formula1>
          <xm:sqref>B13:G27 A39:C39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92D050"/>
    <pageSetUpPr fitToPage="1"/>
  </sheetPr>
  <dimension ref="A1:G1000"/>
  <sheetViews>
    <sheetView tabSelected="1" view="pageBreakPreview" topLeftCell="A21" zoomScale="60" zoomScaleNormal="50" workbookViewId="0">
      <selection activeCell="B13" sqref="B13:F21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149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467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71" x14ac:dyDescent="0.35">
      <c r="A13" s="18" t="s">
        <v>16</v>
      </c>
      <c r="B13" s="16"/>
      <c r="C13" s="16"/>
      <c r="D13" s="16"/>
      <c r="E13" s="15" t="s">
        <v>531</v>
      </c>
      <c r="F13" s="14" t="s">
        <v>53</v>
      </c>
      <c r="G13" s="16"/>
    </row>
    <row r="14" spans="1:7" ht="71" x14ac:dyDescent="0.35">
      <c r="A14" s="18" t="s">
        <v>20</v>
      </c>
      <c r="B14" s="16" t="s">
        <v>597</v>
      </c>
      <c r="C14" s="16" t="s">
        <v>597</v>
      </c>
      <c r="D14" s="16" t="s">
        <v>597</v>
      </c>
      <c r="E14" s="15" t="s">
        <v>531</v>
      </c>
      <c r="F14" s="14" t="s">
        <v>53</v>
      </c>
      <c r="G14" s="16"/>
    </row>
    <row r="15" spans="1:7" ht="88" x14ac:dyDescent="0.35">
      <c r="A15" s="18" t="s">
        <v>21</v>
      </c>
      <c r="B15" s="16" t="s">
        <v>597</v>
      </c>
      <c r="C15" s="16" t="s">
        <v>597</v>
      </c>
      <c r="D15" s="16" t="s">
        <v>597</v>
      </c>
      <c r="E15" s="15" t="s">
        <v>531</v>
      </c>
      <c r="F15" s="16" t="s">
        <v>645</v>
      </c>
      <c r="G15" s="16"/>
    </row>
    <row r="16" spans="1:7" ht="31" x14ac:dyDescent="0.35">
      <c r="A16" s="18" t="s">
        <v>24</v>
      </c>
      <c r="B16" s="13" t="s">
        <v>45</v>
      </c>
      <c r="C16" s="13" t="s">
        <v>45</v>
      </c>
      <c r="D16" s="13" t="s">
        <v>45</v>
      </c>
      <c r="E16" s="13" t="s">
        <v>45</v>
      </c>
      <c r="F16" s="13" t="s">
        <v>45</v>
      </c>
      <c r="G16" s="16"/>
    </row>
    <row r="17" spans="1:7" ht="88" x14ac:dyDescent="0.35">
      <c r="A17" s="18" t="s">
        <v>26</v>
      </c>
      <c r="B17" s="58" t="s">
        <v>531</v>
      </c>
      <c r="C17" s="57" t="s">
        <v>645</v>
      </c>
      <c r="D17" s="57" t="s">
        <v>646</v>
      </c>
      <c r="E17" s="57" t="s">
        <v>553</v>
      </c>
      <c r="F17" s="57" t="s">
        <v>647</v>
      </c>
      <c r="G17" s="57"/>
    </row>
    <row r="18" spans="1:7" ht="71" x14ac:dyDescent="0.35">
      <c r="A18" s="18" t="s">
        <v>29</v>
      </c>
      <c r="B18" s="58" t="s">
        <v>531</v>
      </c>
      <c r="C18" s="57" t="s">
        <v>595</v>
      </c>
      <c r="D18" s="57" t="s">
        <v>646</v>
      </c>
      <c r="E18" s="57" t="s">
        <v>553</v>
      </c>
      <c r="F18" s="57" t="s">
        <v>647</v>
      </c>
      <c r="G18" s="57"/>
    </row>
    <row r="19" spans="1:7" ht="53" x14ac:dyDescent="0.35">
      <c r="A19" s="18" t="s">
        <v>31</v>
      </c>
      <c r="B19" s="57" t="s">
        <v>553</v>
      </c>
      <c r="C19" s="57" t="s">
        <v>553</v>
      </c>
      <c r="D19" s="57" t="s">
        <v>646</v>
      </c>
      <c r="E19" s="57" t="s">
        <v>553</v>
      </c>
      <c r="F19" s="57" t="s">
        <v>647</v>
      </c>
      <c r="G19" s="57"/>
    </row>
    <row r="20" spans="1:7" ht="88" x14ac:dyDescent="0.35">
      <c r="A20" s="18" t="s">
        <v>32</v>
      </c>
      <c r="B20" s="57"/>
      <c r="C20" s="58" t="s">
        <v>533</v>
      </c>
      <c r="D20" s="57" t="s">
        <v>645</v>
      </c>
      <c r="E20" s="57" t="s">
        <v>595</v>
      </c>
      <c r="F20" s="57"/>
      <c r="G20" s="57"/>
    </row>
    <row r="21" spans="1:7" ht="88" x14ac:dyDescent="0.35">
      <c r="A21" s="18" t="s">
        <v>33</v>
      </c>
      <c r="B21" s="57" t="s">
        <v>595</v>
      </c>
      <c r="C21" s="57"/>
      <c r="D21" s="57" t="s">
        <v>645</v>
      </c>
      <c r="E21" s="57" t="s">
        <v>595</v>
      </c>
      <c r="F21" s="57"/>
      <c r="G21" s="59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150</v>
      </c>
      <c r="F31" s="36"/>
      <c r="G31" s="37"/>
    </row>
    <row r="32" spans="1:7" ht="14.25" customHeight="1" x14ac:dyDescent="0.35">
      <c r="A32" s="35" t="s">
        <v>136</v>
      </c>
      <c r="B32" s="36"/>
      <c r="C32" s="37"/>
      <c r="D32" s="22">
        <f>VLOOKUP(A32, Materias!A2:C180, 3, FALSE)</f>
        <v>5</v>
      </c>
      <c r="E32" s="41" t="s">
        <v>142</v>
      </c>
      <c r="F32" s="36"/>
      <c r="G32" s="37"/>
    </row>
    <row r="33" spans="1:7" ht="14.25" customHeight="1" x14ac:dyDescent="0.35">
      <c r="A33" s="35" t="s">
        <v>138</v>
      </c>
      <c r="B33" s="36"/>
      <c r="C33" s="37"/>
      <c r="D33" s="22">
        <f>VLOOKUP(A33, Materias!A2:C180, 3, FALSE)</f>
        <v>6</v>
      </c>
      <c r="E33" s="41" t="s">
        <v>168</v>
      </c>
      <c r="F33" s="36"/>
      <c r="G33" s="37"/>
    </row>
    <row r="34" spans="1:7" ht="14.25" customHeight="1" x14ac:dyDescent="0.35">
      <c r="A34" s="35" t="s">
        <v>139</v>
      </c>
      <c r="B34" s="36"/>
      <c r="C34" s="37"/>
      <c r="D34" s="22">
        <f>VLOOKUP(A34, Materias!A2:C180, 3, FALSE)</f>
        <v>5</v>
      </c>
      <c r="E34" s="41" t="s">
        <v>151</v>
      </c>
      <c r="F34" s="36"/>
      <c r="G34" s="37"/>
    </row>
    <row r="35" spans="1:7" ht="14.25" customHeight="1" x14ac:dyDescent="0.35">
      <c r="A35" s="35" t="s">
        <v>137</v>
      </c>
      <c r="B35" s="36"/>
      <c r="C35" s="37"/>
      <c r="D35" s="22">
        <f>VLOOKUP(A35, Materias!A2:C180, 3, FALSE)</f>
        <v>7</v>
      </c>
      <c r="E35" s="41" t="s">
        <v>145</v>
      </c>
      <c r="F35" s="36"/>
      <c r="G35" s="37"/>
    </row>
    <row r="36" spans="1:7" ht="14.25" customHeight="1" x14ac:dyDescent="0.35">
      <c r="A36" s="35" t="s">
        <v>140</v>
      </c>
      <c r="B36" s="36"/>
      <c r="C36" s="37"/>
      <c r="D36" s="22">
        <f>VLOOKUP(A36, Materias!A2:C180, 3, FALSE)</f>
        <v>3</v>
      </c>
      <c r="E36" s="41" t="s">
        <v>146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468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Materias!A2:C180, 3, FALSE)</f>
        <v>2</v>
      </c>
      <c r="E38" s="41" t="s">
        <v>54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38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56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42:G42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8:G38"/>
    <mergeCell ref="E39:G39"/>
    <mergeCell ref="A41:G41"/>
    <mergeCell ref="A35:C35"/>
    <mergeCell ref="A36:C36"/>
    <mergeCell ref="A37:C37"/>
    <mergeCell ref="A38:C38"/>
    <mergeCell ref="A39:C39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0" xr:uid="{00000000-0002-0000-0A00-000003000000}">
      <formula1>#REF!</formula1>
    </dataValidation>
  </dataValidations>
  <printOptions horizontalCentered="1"/>
  <pageMargins left="0.25" right="0.25" top="0.75" bottom="0.75" header="0" footer="0"/>
  <pageSetup scale="5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A00-000000000000}">
          <x14:formula1>
            <xm:f>Materias!$A$29:$A$37</xm:f>
          </x14:formula1>
          <xm:sqref>A30:A38</xm:sqref>
        </x14:dataValidation>
        <x14:dataValidation type="list" allowBlank="1" xr:uid="{00000000-0002-0000-0A00-000001000000}">
          <x14:formula1>
            <xm:f>Docentes!$B$2:$B$304</xm:f>
          </x14:formula1>
          <xm:sqref>E30:E38</xm:sqref>
        </x14:dataValidation>
        <x14:dataValidation type="list" allowBlank="1" xr:uid="{00000000-0002-0000-0A00-000002000000}">
          <x14:formula1>
            <xm:f>Materias!$A$29:$A$37</xm:f>
          </x14:formula1>
          <xm:sqref>B22:G27 B13:G20 B21:F21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92D050"/>
    <pageSetUpPr fitToPage="1"/>
  </sheetPr>
  <dimension ref="A1:G1000"/>
  <sheetViews>
    <sheetView view="pageBreakPreview" topLeftCell="A8" zoomScale="60" zoomScaleNormal="50" workbookViewId="0">
      <selection activeCell="F13" sqref="F13:F14"/>
    </sheetView>
  </sheetViews>
  <sheetFormatPr baseColWidth="10" defaultColWidth="14.453125" defaultRowHeight="15" customHeight="1" x14ac:dyDescent="0.35"/>
  <cols>
    <col min="1" max="1" width="10.54296875" customWidth="1"/>
    <col min="2" max="5" width="20.54296875" customWidth="1"/>
    <col min="6" max="6" width="21.81640625" customWidth="1"/>
    <col min="7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152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469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88" x14ac:dyDescent="0.35">
      <c r="A13" s="18" t="s">
        <v>16</v>
      </c>
      <c r="B13" s="16" t="s">
        <v>648</v>
      </c>
      <c r="C13" s="16" t="s">
        <v>651</v>
      </c>
      <c r="D13" s="16"/>
      <c r="E13" s="16" t="s">
        <v>654</v>
      </c>
      <c r="F13" s="14" t="s">
        <v>53</v>
      </c>
      <c r="G13" s="16"/>
    </row>
    <row r="14" spans="1:7" ht="71" x14ac:dyDescent="0.35">
      <c r="A14" s="18" t="s">
        <v>20</v>
      </c>
      <c r="B14" s="16" t="s">
        <v>548</v>
      </c>
      <c r="C14" s="16" t="s">
        <v>545</v>
      </c>
      <c r="D14" s="16" t="s">
        <v>546</v>
      </c>
      <c r="E14" s="16" t="s">
        <v>546</v>
      </c>
      <c r="F14" s="14" t="s">
        <v>53</v>
      </c>
      <c r="G14" s="16"/>
    </row>
    <row r="15" spans="1:7" ht="71.5" x14ac:dyDescent="0.35">
      <c r="A15" s="18" t="s">
        <v>21</v>
      </c>
      <c r="B15" s="16" t="s">
        <v>649</v>
      </c>
      <c r="C15" s="16" t="s">
        <v>545</v>
      </c>
      <c r="D15" s="16" t="s">
        <v>545</v>
      </c>
      <c r="E15" s="16" t="s">
        <v>546</v>
      </c>
      <c r="F15" s="16" t="s">
        <v>651</v>
      </c>
      <c r="G15" s="16"/>
    </row>
    <row r="16" spans="1:7" ht="31" x14ac:dyDescent="0.35">
      <c r="A16" s="18" t="s">
        <v>24</v>
      </c>
      <c r="B16" s="13" t="s">
        <v>45</v>
      </c>
      <c r="C16" s="13" t="s">
        <v>45</v>
      </c>
      <c r="D16" s="13" t="s">
        <v>45</v>
      </c>
      <c r="E16" s="13" t="s">
        <v>45</v>
      </c>
      <c r="F16" s="13" t="s">
        <v>45</v>
      </c>
      <c r="G16" s="16"/>
    </row>
    <row r="17" spans="1:7" ht="53.5" x14ac:dyDescent="0.35">
      <c r="A17" s="18" t="s">
        <v>26</v>
      </c>
      <c r="B17" s="16" t="s">
        <v>545</v>
      </c>
      <c r="C17" s="16" t="s">
        <v>647</v>
      </c>
      <c r="D17" s="16" t="s">
        <v>650</v>
      </c>
      <c r="E17" s="16" t="s">
        <v>650</v>
      </c>
      <c r="F17" s="16" t="s">
        <v>650</v>
      </c>
      <c r="G17" s="16"/>
    </row>
    <row r="18" spans="1:7" ht="53.5" x14ac:dyDescent="0.35">
      <c r="A18" s="18" t="s">
        <v>29</v>
      </c>
      <c r="B18" s="16" t="s">
        <v>596</v>
      </c>
      <c r="C18" s="16" t="s">
        <v>647</v>
      </c>
      <c r="D18" s="16" t="s">
        <v>650</v>
      </c>
      <c r="E18" s="16" t="s">
        <v>650</v>
      </c>
      <c r="F18" s="16" t="s">
        <v>650</v>
      </c>
      <c r="G18" s="16"/>
    </row>
    <row r="19" spans="1:7" ht="88" x14ac:dyDescent="0.35">
      <c r="A19" s="18" t="s">
        <v>31</v>
      </c>
      <c r="B19" s="16" t="s">
        <v>596</v>
      </c>
      <c r="C19" s="16" t="s">
        <v>647</v>
      </c>
      <c r="D19" s="16" t="s">
        <v>652</v>
      </c>
      <c r="E19" s="16" t="s">
        <v>652</v>
      </c>
      <c r="F19" s="16" t="s">
        <v>654</v>
      </c>
      <c r="G19" s="16"/>
    </row>
    <row r="20" spans="1:7" ht="88" x14ac:dyDescent="0.35">
      <c r="A20" s="18" t="s">
        <v>32</v>
      </c>
      <c r="B20" s="15" t="s">
        <v>543</v>
      </c>
      <c r="C20" s="16"/>
      <c r="D20" s="16"/>
      <c r="E20" s="16" t="s">
        <v>653</v>
      </c>
      <c r="F20" s="16" t="s">
        <v>654</v>
      </c>
      <c r="G20" s="16"/>
    </row>
    <row r="21" spans="1:7" ht="88" x14ac:dyDescent="0.35">
      <c r="A21" s="18" t="s">
        <v>33</v>
      </c>
      <c r="B21" s="16"/>
      <c r="C21" s="16"/>
      <c r="D21" s="16"/>
      <c r="E21" s="16"/>
      <c r="F21" s="16" t="s">
        <v>654</v>
      </c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269</v>
      </c>
      <c r="F31" s="36"/>
      <c r="G31" s="37"/>
    </row>
    <row r="32" spans="1:7" ht="14.25" customHeight="1" x14ac:dyDescent="0.35">
      <c r="A32" s="35" t="s">
        <v>136</v>
      </c>
      <c r="B32" s="36"/>
      <c r="C32" s="37"/>
      <c r="D32" s="22">
        <f>VLOOKUP(A32, Materias!A2:C180, 3, FALSE)</f>
        <v>5</v>
      </c>
      <c r="E32" s="41" t="s">
        <v>142</v>
      </c>
      <c r="F32" s="36"/>
      <c r="G32" s="37"/>
    </row>
    <row r="33" spans="1:7" ht="14.25" customHeight="1" x14ac:dyDescent="0.35">
      <c r="A33" s="35" t="s">
        <v>138</v>
      </c>
      <c r="B33" s="36"/>
      <c r="C33" s="37"/>
      <c r="D33" s="22">
        <f>VLOOKUP(A33, Materias!A2:C180, 3, FALSE)</f>
        <v>6</v>
      </c>
      <c r="E33" s="41" t="s">
        <v>153</v>
      </c>
      <c r="F33" s="36"/>
      <c r="G33" s="37"/>
    </row>
    <row r="34" spans="1:7" ht="14.25" customHeight="1" x14ac:dyDescent="0.35">
      <c r="A34" s="35" t="s">
        <v>139</v>
      </c>
      <c r="B34" s="36"/>
      <c r="C34" s="37"/>
      <c r="D34" s="22">
        <f>VLOOKUP(A34, Materias!A2:C180, 3, FALSE)</f>
        <v>5</v>
      </c>
      <c r="E34" s="54" t="s">
        <v>150</v>
      </c>
      <c r="F34" s="36"/>
      <c r="G34" s="37"/>
    </row>
    <row r="35" spans="1:7" ht="14.25" customHeight="1" x14ac:dyDescent="0.35">
      <c r="A35" s="35" t="s">
        <v>137</v>
      </c>
      <c r="B35" s="36"/>
      <c r="C35" s="37"/>
      <c r="D35" s="22">
        <f>VLOOKUP(A35, Materias!A2:C180, 3, FALSE)</f>
        <v>7</v>
      </c>
      <c r="E35" s="41" t="s">
        <v>154</v>
      </c>
      <c r="F35" s="36"/>
      <c r="G35" s="37"/>
    </row>
    <row r="36" spans="1:7" ht="14.25" customHeight="1" x14ac:dyDescent="0.35">
      <c r="A36" s="35" t="s">
        <v>140</v>
      </c>
      <c r="B36" s="36"/>
      <c r="C36" s="37"/>
      <c r="D36" s="22">
        <f>VLOOKUP(A36, Materias!A2:C180, 3, FALSE)</f>
        <v>3</v>
      </c>
      <c r="E36" s="41" t="s">
        <v>163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150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Materias!A2:C180, 3, FALSE)</f>
        <v>2</v>
      </c>
      <c r="E38" s="41" t="s">
        <v>54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38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56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42:G42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8:G38"/>
    <mergeCell ref="E39:G39"/>
    <mergeCell ref="A41:G41"/>
    <mergeCell ref="A35:C35"/>
    <mergeCell ref="A36:C36"/>
    <mergeCell ref="A37:C37"/>
    <mergeCell ref="A38:C38"/>
    <mergeCell ref="A39:C39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0" xr:uid="{00000000-0002-0000-0B00-000003000000}">
      <formula1>#REF!</formula1>
    </dataValidation>
  </dataValidations>
  <printOptions horizontalCentered="1"/>
  <pageMargins left="0.25" right="0.25" top="0.75" bottom="0.75" header="0" footer="0"/>
  <pageSetup scale="5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B00-000000000000}">
          <x14:formula1>
            <xm:f>Materias!$A$29:$A$37</xm:f>
          </x14:formula1>
          <xm:sqref>A30:A38</xm:sqref>
        </x14:dataValidation>
        <x14:dataValidation type="list" allowBlank="1" xr:uid="{00000000-0002-0000-0B00-000001000000}">
          <x14:formula1>
            <xm:f>Docentes!$B$2:$B$304</xm:f>
          </x14:formula1>
          <xm:sqref>E30:E38</xm:sqref>
        </x14:dataValidation>
        <x14:dataValidation type="list" allowBlank="1" xr:uid="{00000000-0002-0000-0B00-000002000000}">
          <x14:formula1>
            <xm:f>Materias!$A$29:$A$37</xm:f>
          </x14:formula1>
          <xm:sqref>B13:G27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DE20DE"/>
    <pageSetUpPr fitToPage="1"/>
  </sheetPr>
  <dimension ref="A1:G1000"/>
  <sheetViews>
    <sheetView view="pageBreakPreview" topLeftCell="A20" zoomScale="60" zoomScaleNormal="50" workbookViewId="0">
      <selection activeCell="F23" sqref="F23:F24"/>
    </sheetView>
  </sheetViews>
  <sheetFormatPr baseColWidth="10" defaultColWidth="14.453125" defaultRowHeight="15" customHeight="1" x14ac:dyDescent="0.35"/>
  <cols>
    <col min="1" max="1" width="10.54296875" customWidth="1"/>
    <col min="2" max="2" width="24.90625" customWidth="1"/>
    <col min="3" max="5" width="20.54296875" customWidth="1"/>
    <col min="6" max="6" width="23.08984375" customWidth="1"/>
    <col min="7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155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471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70.5" x14ac:dyDescent="0.35">
      <c r="A18" s="18" t="s">
        <v>29</v>
      </c>
      <c r="B18" s="16" t="s">
        <v>544</v>
      </c>
      <c r="C18" s="16"/>
      <c r="D18" s="16"/>
      <c r="E18" s="16"/>
      <c r="F18" s="16"/>
      <c r="G18" s="16"/>
    </row>
    <row r="19" spans="1:7" ht="71" x14ac:dyDescent="0.35">
      <c r="A19" s="18" t="s">
        <v>31</v>
      </c>
      <c r="B19" s="16" t="s">
        <v>545</v>
      </c>
      <c r="C19" s="16" t="s">
        <v>548</v>
      </c>
      <c r="D19" s="16" t="s">
        <v>644</v>
      </c>
      <c r="E19" s="16" t="s">
        <v>644</v>
      </c>
      <c r="F19" s="16" t="s">
        <v>544</v>
      </c>
      <c r="G19" s="16"/>
    </row>
    <row r="20" spans="1:7" ht="71" x14ac:dyDescent="0.35">
      <c r="A20" s="18" t="s">
        <v>32</v>
      </c>
      <c r="B20" s="16" t="s">
        <v>545</v>
      </c>
      <c r="C20" s="16" t="s">
        <v>548</v>
      </c>
      <c r="D20" s="16" t="s">
        <v>644</v>
      </c>
      <c r="E20" s="16" t="s">
        <v>644</v>
      </c>
      <c r="F20" s="16" t="s">
        <v>544</v>
      </c>
      <c r="G20" s="16"/>
    </row>
    <row r="21" spans="1:7" ht="71" x14ac:dyDescent="0.35">
      <c r="A21" s="18" t="s">
        <v>33</v>
      </c>
      <c r="B21" s="16" t="s">
        <v>545</v>
      </c>
      <c r="C21" s="16" t="s">
        <v>548</v>
      </c>
      <c r="D21" s="16" t="s">
        <v>644</v>
      </c>
      <c r="E21" s="16" t="s">
        <v>644</v>
      </c>
      <c r="F21" s="16" t="s">
        <v>544</v>
      </c>
      <c r="G21" s="16"/>
    </row>
    <row r="22" spans="1:7" ht="31" x14ac:dyDescent="0.35">
      <c r="A22" s="18" t="s">
        <v>34</v>
      </c>
      <c r="B22" s="13" t="s">
        <v>45</v>
      </c>
      <c r="C22" s="13" t="s">
        <v>45</v>
      </c>
      <c r="D22" s="13" t="s">
        <v>45</v>
      </c>
      <c r="E22" s="13" t="s">
        <v>45</v>
      </c>
      <c r="F22" s="13" t="s">
        <v>45</v>
      </c>
      <c r="G22" s="16"/>
    </row>
    <row r="23" spans="1:7" ht="71" x14ac:dyDescent="0.35">
      <c r="A23" s="18" t="s">
        <v>35</v>
      </c>
      <c r="B23" s="16" t="s">
        <v>547</v>
      </c>
      <c r="C23" s="16" t="s">
        <v>545</v>
      </c>
      <c r="D23" s="16" t="s">
        <v>548</v>
      </c>
      <c r="E23" s="16" t="s">
        <v>546</v>
      </c>
      <c r="F23" s="14" t="s">
        <v>53</v>
      </c>
      <c r="G23" s="16"/>
    </row>
    <row r="24" spans="1:7" ht="71" x14ac:dyDescent="0.35">
      <c r="A24" s="18" t="s">
        <v>36</v>
      </c>
      <c r="B24" s="16" t="s">
        <v>547</v>
      </c>
      <c r="C24" s="16" t="s">
        <v>545</v>
      </c>
      <c r="D24" s="16" t="s">
        <v>548</v>
      </c>
      <c r="E24" s="16" t="s">
        <v>546</v>
      </c>
      <c r="F24" s="14" t="s">
        <v>53</v>
      </c>
      <c r="G24" s="16"/>
    </row>
    <row r="25" spans="1:7" ht="71" x14ac:dyDescent="0.35">
      <c r="A25" s="18" t="s">
        <v>37</v>
      </c>
      <c r="B25" s="16" t="s">
        <v>547</v>
      </c>
      <c r="C25" s="16"/>
      <c r="D25" s="16" t="s">
        <v>547</v>
      </c>
      <c r="E25" s="16" t="s">
        <v>546</v>
      </c>
      <c r="F25" s="16" t="s">
        <v>547</v>
      </c>
      <c r="G25" s="16"/>
    </row>
    <row r="26" spans="1:7" ht="71" x14ac:dyDescent="0.35">
      <c r="A26" s="18" t="s">
        <v>38</v>
      </c>
      <c r="B26" s="15" t="s">
        <v>555</v>
      </c>
      <c r="C26" s="16"/>
      <c r="D26" s="16" t="s">
        <v>547</v>
      </c>
      <c r="E26" s="16"/>
      <c r="F26" s="16" t="s">
        <v>547</v>
      </c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150</v>
      </c>
      <c r="F31" s="36"/>
      <c r="G31" s="37"/>
    </row>
    <row r="32" spans="1:7" ht="14.25" customHeight="1" x14ac:dyDescent="0.35">
      <c r="A32" s="35" t="s">
        <v>136</v>
      </c>
      <c r="B32" s="36"/>
      <c r="C32" s="37"/>
      <c r="D32" s="22">
        <f>VLOOKUP(A32, Materias!A2:C180, 3, FALSE)</f>
        <v>5</v>
      </c>
      <c r="E32" s="41" t="s">
        <v>156</v>
      </c>
      <c r="F32" s="36"/>
      <c r="G32" s="37"/>
    </row>
    <row r="33" spans="1:7" ht="14.25" customHeight="1" x14ac:dyDescent="0.35">
      <c r="A33" s="35" t="s">
        <v>138</v>
      </c>
      <c r="B33" s="36"/>
      <c r="C33" s="37"/>
      <c r="D33" s="22">
        <f>VLOOKUP(A33, Materias!A2:C180, 3, FALSE)</f>
        <v>6</v>
      </c>
      <c r="E33" s="54" t="s">
        <v>153</v>
      </c>
      <c r="F33" s="36"/>
      <c r="G33" s="37"/>
    </row>
    <row r="34" spans="1:7" ht="14.25" customHeight="1" x14ac:dyDescent="0.35">
      <c r="A34" s="35" t="s">
        <v>139</v>
      </c>
      <c r="B34" s="36"/>
      <c r="C34" s="37"/>
      <c r="D34" s="22">
        <f>VLOOKUP(A34, Materias!A2:C180, 3, FALSE)</f>
        <v>5</v>
      </c>
      <c r="E34" s="41" t="s">
        <v>157</v>
      </c>
      <c r="F34" s="36"/>
      <c r="G34" s="37"/>
    </row>
    <row r="35" spans="1:7" ht="14.25" customHeight="1" x14ac:dyDescent="0.35">
      <c r="A35" s="35" t="s">
        <v>137</v>
      </c>
      <c r="B35" s="36"/>
      <c r="C35" s="37"/>
      <c r="D35" s="22">
        <f>VLOOKUP(A35, Materias!A2:C180, 3, FALSE)</f>
        <v>7</v>
      </c>
      <c r="E35" s="41" t="s">
        <v>158</v>
      </c>
      <c r="F35" s="36"/>
      <c r="G35" s="37"/>
    </row>
    <row r="36" spans="1:7" ht="14.25" customHeight="1" x14ac:dyDescent="0.35">
      <c r="A36" s="35" t="s">
        <v>140</v>
      </c>
      <c r="B36" s="36"/>
      <c r="C36" s="37"/>
      <c r="D36" s="22">
        <f>VLOOKUP(A36, Materias!A2:C180, 3, FALSE)</f>
        <v>3</v>
      </c>
      <c r="E36" s="41" t="s">
        <v>159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158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Materias!A2:C180, 3, FALSE)</f>
        <v>2</v>
      </c>
      <c r="E38" s="41" t="s">
        <v>54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38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56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42:G42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8:G38"/>
    <mergeCell ref="E39:G39"/>
    <mergeCell ref="A41:G41"/>
    <mergeCell ref="A35:C35"/>
    <mergeCell ref="A36:C36"/>
    <mergeCell ref="A37:C37"/>
    <mergeCell ref="A38:C38"/>
    <mergeCell ref="A39:C39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0" xr:uid="{00000000-0002-0000-0C00-000003000000}">
      <formula1>#REF!</formula1>
    </dataValidation>
  </dataValidations>
  <printOptions horizontalCentered="1"/>
  <pageMargins left="0.25" right="0.25" top="0.75" bottom="0.75" header="0" footer="0"/>
  <pageSetup scale="5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C00-000000000000}">
          <x14:formula1>
            <xm:f>Materias!$A$29:$A$37</xm:f>
          </x14:formula1>
          <xm:sqref>A30:A38</xm:sqref>
        </x14:dataValidation>
        <x14:dataValidation type="list" allowBlank="1" xr:uid="{00000000-0002-0000-0C00-000001000000}">
          <x14:formula1>
            <xm:f>Docentes!$B$2:$B$304</xm:f>
          </x14:formula1>
          <xm:sqref>E30:E38</xm:sqref>
        </x14:dataValidation>
        <x14:dataValidation type="list" allowBlank="1" xr:uid="{00000000-0002-0000-0C00-000002000000}">
          <x14:formula1>
            <xm:f>Materias!$A$29:$A$37</xm:f>
          </x14:formula1>
          <xm:sqref>B13:G27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DE20DE"/>
    <pageSetUpPr fitToPage="1"/>
  </sheetPr>
  <dimension ref="A1:G1000"/>
  <sheetViews>
    <sheetView view="pageBreakPreview" topLeftCell="A19" zoomScale="60" zoomScaleNormal="50" workbookViewId="0">
      <selection activeCell="F23" sqref="F23:F24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160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464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88" x14ac:dyDescent="0.35">
      <c r="A18" s="18" t="s">
        <v>29</v>
      </c>
      <c r="B18" s="16"/>
      <c r="C18" s="16" t="s">
        <v>556</v>
      </c>
      <c r="D18" s="16"/>
      <c r="E18" s="16" t="s">
        <v>552</v>
      </c>
      <c r="F18" s="15" t="s">
        <v>557</v>
      </c>
      <c r="G18" s="16"/>
    </row>
    <row r="19" spans="1:7" ht="88" x14ac:dyDescent="0.35">
      <c r="A19" s="18" t="s">
        <v>31</v>
      </c>
      <c r="B19" s="16" t="s">
        <v>591</v>
      </c>
      <c r="C19" s="16" t="s">
        <v>556</v>
      </c>
      <c r="D19" s="16" t="s">
        <v>556</v>
      </c>
      <c r="E19" s="16" t="s">
        <v>552</v>
      </c>
      <c r="F19" s="16" t="s">
        <v>553</v>
      </c>
      <c r="G19" s="16"/>
    </row>
    <row r="20" spans="1:7" ht="53.5" x14ac:dyDescent="0.35">
      <c r="A20" s="18" t="s">
        <v>32</v>
      </c>
      <c r="B20" s="16" t="s">
        <v>591</v>
      </c>
      <c r="C20" s="16" t="s">
        <v>554</v>
      </c>
      <c r="D20" s="16" t="s">
        <v>591</v>
      </c>
      <c r="E20" s="16" t="s">
        <v>593</v>
      </c>
      <c r="F20" s="16" t="s">
        <v>553</v>
      </c>
      <c r="G20" s="16"/>
    </row>
    <row r="21" spans="1:7" ht="53.5" x14ac:dyDescent="0.35">
      <c r="A21" s="18" t="s">
        <v>33</v>
      </c>
      <c r="B21" s="16" t="s">
        <v>591</v>
      </c>
      <c r="C21" s="16" t="s">
        <v>554</v>
      </c>
      <c r="D21" s="16" t="s">
        <v>591</v>
      </c>
      <c r="E21" s="16" t="s">
        <v>593</v>
      </c>
      <c r="F21" s="16" t="s">
        <v>553</v>
      </c>
      <c r="G21" s="16"/>
    </row>
    <row r="22" spans="1:7" ht="31" x14ac:dyDescent="0.35">
      <c r="A22" s="18" t="s">
        <v>34</v>
      </c>
      <c r="B22" s="13" t="s">
        <v>45</v>
      </c>
      <c r="C22" s="13" t="s">
        <v>45</v>
      </c>
      <c r="D22" s="13" t="s">
        <v>45</v>
      </c>
      <c r="E22" s="13" t="s">
        <v>45</v>
      </c>
      <c r="F22" s="13" t="s">
        <v>45</v>
      </c>
      <c r="G22" s="16"/>
    </row>
    <row r="23" spans="1:7" ht="88" x14ac:dyDescent="0.35">
      <c r="A23" s="18" t="s">
        <v>35</v>
      </c>
      <c r="B23" s="16" t="s">
        <v>554</v>
      </c>
      <c r="C23" s="16" t="s">
        <v>552</v>
      </c>
      <c r="D23" s="16" t="s">
        <v>554</v>
      </c>
      <c r="E23" s="16" t="s">
        <v>553</v>
      </c>
      <c r="F23" s="14" t="s">
        <v>53</v>
      </c>
      <c r="G23" s="16"/>
    </row>
    <row r="24" spans="1:7" ht="88" x14ac:dyDescent="0.35">
      <c r="A24" s="18" t="s">
        <v>36</v>
      </c>
      <c r="B24" s="16" t="s">
        <v>554</v>
      </c>
      <c r="C24" s="16" t="s">
        <v>552</v>
      </c>
      <c r="D24" s="16" t="s">
        <v>554</v>
      </c>
      <c r="E24" s="16" t="s">
        <v>553</v>
      </c>
      <c r="F24" s="14" t="s">
        <v>53</v>
      </c>
      <c r="G24" s="16"/>
    </row>
    <row r="25" spans="1:7" ht="53" x14ac:dyDescent="0.35">
      <c r="A25" s="18" t="s">
        <v>37</v>
      </c>
      <c r="B25" s="16" t="s">
        <v>558</v>
      </c>
      <c r="C25" s="16"/>
      <c r="D25" s="16" t="s">
        <v>558</v>
      </c>
      <c r="E25" s="16" t="s">
        <v>558</v>
      </c>
      <c r="F25" s="16"/>
      <c r="G25" s="16"/>
    </row>
    <row r="26" spans="1:7" ht="53" x14ac:dyDescent="0.35">
      <c r="A26" s="18" t="s">
        <v>38</v>
      </c>
      <c r="B26" s="16" t="s">
        <v>558</v>
      </c>
      <c r="C26" s="16"/>
      <c r="D26" s="16" t="s">
        <v>558</v>
      </c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161</v>
      </c>
      <c r="F31" s="36"/>
      <c r="G31" s="37"/>
    </row>
    <row r="32" spans="1:7" ht="14.25" customHeight="1" x14ac:dyDescent="0.35">
      <c r="A32" s="35" t="s">
        <v>136</v>
      </c>
      <c r="B32" s="36"/>
      <c r="C32" s="37"/>
      <c r="D32" s="22">
        <f>VLOOKUP(A32, Materias!A2:C180, 3, FALSE)</f>
        <v>5</v>
      </c>
      <c r="E32" s="41" t="s">
        <v>162</v>
      </c>
      <c r="F32" s="36"/>
      <c r="G32" s="37"/>
    </row>
    <row r="33" spans="1:7" ht="14.25" customHeight="1" x14ac:dyDescent="0.35">
      <c r="A33" s="35" t="s">
        <v>138</v>
      </c>
      <c r="B33" s="36"/>
      <c r="C33" s="37"/>
      <c r="D33" s="22">
        <f>VLOOKUP(A33, Materias!A2:C180, 3, FALSE)</f>
        <v>6</v>
      </c>
      <c r="E33" s="41" t="s">
        <v>154</v>
      </c>
      <c r="F33" s="36"/>
      <c r="G33" s="37"/>
    </row>
    <row r="34" spans="1:7" ht="14.25" customHeight="1" x14ac:dyDescent="0.35">
      <c r="A34" s="35" t="s">
        <v>139</v>
      </c>
      <c r="B34" s="36"/>
      <c r="C34" s="37"/>
      <c r="D34" s="22">
        <f>VLOOKUP(A34, Materias!A2:C180, 3, FALSE)</f>
        <v>5</v>
      </c>
      <c r="E34" s="41" t="s">
        <v>157</v>
      </c>
      <c r="F34" s="36"/>
      <c r="G34" s="37"/>
    </row>
    <row r="35" spans="1:7" ht="14.25" customHeight="1" x14ac:dyDescent="0.35">
      <c r="A35" s="35" t="s">
        <v>137</v>
      </c>
      <c r="B35" s="36"/>
      <c r="C35" s="37"/>
      <c r="D35" s="22">
        <f>VLOOKUP(A35, Materias!A2:C180, 3, FALSE)</f>
        <v>7</v>
      </c>
      <c r="E35" s="41" t="s">
        <v>163</v>
      </c>
      <c r="F35" s="36"/>
      <c r="G35" s="37"/>
    </row>
    <row r="36" spans="1:7" ht="14.25" customHeight="1" x14ac:dyDescent="0.35">
      <c r="A36" s="35" t="s">
        <v>140</v>
      </c>
      <c r="B36" s="36"/>
      <c r="C36" s="37"/>
      <c r="D36" s="22">
        <f>VLOOKUP(A36, Materias!A2:C180, 3, FALSE)</f>
        <v>3</v>
      </c>
      <c r="E36" s="41" t="s">
        <v>150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161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Materias!A2:C180, 3, FALSE)</f>
        <v>2</v>
      </c>
      <c r="E38" s="41" t="s">
        <v>54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38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56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42:G42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8:G38"/>
    <mergeCell ref="E39:G39"/>
    <mergeCell ref="A41:G41"/>
    <mergeCell ref="A35:C35"/>
    <mergeCell ref="A36:C36"/>
    <mergeCell ref="A37:C37"/>
    <mergeCell ref="A38:C38"/>
    <mergeCell ref="A39:C39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0" xr:uid="{00000000-0002-0000-0D00-000003000000}">
      <formula1>#REF!</formula1>
    </dataValidation>
  </dataValidations>
  <printOptions horizontalCentered="1"/>
  <pageMargins left="0.25" right="0.25" top="0.75" bottom="0.75" header="0" footer="0"/>
  <pageSetup scale="5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D00-000000000000}">
          <x14:formula1>
            <xm:f>Materias!$A$29:$A$37</xm:f>
          </x14:formula1>
          <xm:sqref>A30:A38</xm:sqref>
        </x14:dataValidation>
        <x14:dataValidation type="list" allowBlank="1" xr:uid="{00000000-0002-0000-0D00-000001000000}">
          <x14:formula1>
            <xm:f>Docentes!$B$2:$B$304</xm:f>
          </x14:formula1>
          <xm:sqref>E30:E38</xm:sqref>
        </x14:dataValidation>
        <x14:dataValidation type="list" allowBlank="1" xr:uid="{00000000-0002-0000-0D00-000002000000}">
          <x14:formula1>
            <xm:f>Materias!$A$29:$A$37</xm:f>
          </x14:formula1>
          <xm:sqref>B13:G27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tabColor rgb="FFDE20DE"/>
    <pageSetUpPr fitToPage="1"/>
  </sheetPr>
  <dimension ref="A1:G1000"/>
  <sheetViews>
    <sheetView view="pageBreakPreview" topLeftCell="A25" zoomScale="60" zoomScaleNormal="50" workbookViewId="0">
      <selection activeCell="F23" sqref="F23:F24"/>
    </sheetView>
  </sheetViews>
  <sheetFormatPr baseColWidth="10" defaultColWidth="14.453125" defaultRowHeight="15" customHeight="1" x14ac:dyDescent="0.35"/>
  <cols>
    <col min="1" max="1" width="10.54296875" customWidth="1"/>
    <col min="2" max="2" width="21.90625" customWidth="1"/>
    <col min="3" max="3" width="20.54296875" customWidth="1"/>
    <col min="4" max="4" width="22.90625" customWidth="1"/>
    <col min="5" max="5" width="22" customWidth="1"/>
    <col min="6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164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472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70.5" x14ac:dyDescent="0.35">
      <c r="A17" s="18" t="s">
        <v>26</v>
      </c>
      <c r="B17" s="16"/>
      <c r="C17" s="16"/>
      <c r="D17" s="16"/>
      <c r="E17" s="16" t="s">
        <v>544</v>
      </c>
      <c r="F17" s="16"/>
      <c r="G17" s="16"/>
    </row>
    <row r="18" spans="1:7" ht="70.5" x14ac:dyDescent="0.35">
      <c r="A18" s="18" t="s">
        <v>29</v>
      </c>
      <c r="B18" s="16" t="s">
        <v>564</v>
      </c>
      <c r="C18" s="16"/>
      <c r="D18" s="16" t="s">
        <v>544</v>
      </c>
      <c r="E18" s="16" t="s">
        <v>544</v>
      </c>
      <c r="F18" s="16" t="s">
        <v>564</v>
      </c>
      <c r="G18" s="16"/>
    </row>
    <row r="19" spans="1:7" ht="88" x14ac:dyDescent="0.35">
      <c r="A19" s="18" t="s">
        <v>31</v>
      </c>
      <c r="B19" s="16" t="s">
        <v>544</v>
      </c>
      <c r="C19" s="16" t="s">
        <v>563</v>
      </c>
      <c r="D19" s="16" t="s">
        <v>563</v>
      </c>
      <c r="E19" s="16" t="s">
        <v>526</v>
      </c>
      <c r="F19" s="16" t="s">
        <v>564</v>
      </c>
      <c r="G19" s="16"/>
    </row>
    <row r="20" spans="1:7" ht="53" x14ac:dyDescent="0.35">
      <c r="A20" s="18" t="s">
        <v>32</v>
      </c>
      <c r="B20" s="16" t="s">
        <v>554</v>
      </c>
      <c r="C20" s="16" t="s">
        <v>563</v>
      </c>
      <c r="D20" s="16" t="s">
        <v>554</v>
      </c>
      <c r="E20" s="16" t="s">
        <v>526</v>
      </c>
      <c r="F20" s="16" t="s">
        <v>559</v>
      </c>
      <c r="G20" s="16"/>
    </row>
    <row r="21" spans="1:7" ht="53" x14ac:dyDescent="0.35">
      <c r="A21" s="18" t="s">
        <v>33</v>
      </c>
      <c r="B21" s="16" t="s">
        <v>554</v>
      </c>
      <c r="C21" s="16" t="s">
        <v>563</v>
      </c>
      <c r="D21" s="16" t="s">
        <v>554</v>
      </c>
      <c r="E21" s="16" t="s">
        <v>526</v>
      </c>
      <c r="F21" s="16" t="s">
        <v>559</v>
      </c>
      <c r="G21" s="16"/>
    </row>
    <row r="22" spans="1:7" ht="31" x14ac:dyDescent="0.35">
      <c r="A22" s="18" t="s">
        <v>34</v>
      </c>
      <c r="B22" s="13" t="s">
        <v>45</v>
      </c>
      <c r="C22" s="13" t="s">
        <v>45</v>
      </c>
      <c r="D22" s="13" t="s">
        <v>45</v>
      </c>
      <c r="E22" s="13" t="s">
        <v>45</v>
      </c>
      <c r="F22" s="13" t="s">
        <v>45</v>
      </c>
      <c r="G22" s="16"/>
    </row>
    <row r="23" spans="1:7" ht="54" x14ac:dyDescent="0.35">
      <c r="A23" s="18" t="s">
        <v>35</v>
      </c>
      <c r="B23" s="16" t="s">
        <v>526</v>
      </c>
      <c r="C23" s="16" t="s">
        <v>554</v>
      </c>
      <c r="D23" s="16" t="s">
        <v>559</v>
      </c>
      <c r="E23" s="16"/>
      <c r="F23" s="14" t="s">
        <v>53</v>
      </c>
      <c r="G23" s="16"/>
    </row>
    <row r="24" spans="1:7" ht="54" x14ac:dyDescent="0.35">
      <c r="A24" s="18" t="s">
        <v>36</v>
      </c>
      <c r="B24" s="16" t="s">
        <v>526</v>
      </c>
      <c r="C24" s="16" t="s">
        <v>554</v>
      </c>
      <c r="D24" s="16" t="s">
        <v>559</v>
      </c>
      <c r="E24" s="16"/>
      <c r="F24" s="14" t="s">
        <v>53</v>
      </c>
      <c r="G24" s="16"/>
    </row>
    <row r="25" spans="1:7" ht="53" x14ac:dyDescent="0.35">
      <c r="A25" s="18" t="s">
        <v>37</v>
      </c>
      <c r="B25" s="16" t="s">
        <v>561</v>
      </c>
      <c r="C25" s="16" t="s">
        <v>561</v>
      </c>
      <c r="D25" s="16" t="s">
        <v>559</v>
      </c>
      <c r="E25" s="16"/>
      <c r="F25" s="16"/>
      <c r="G25" s="16" t="s">
        <v>562</v>
      </c>
    </row>
    <row r="26" spans="1:7" ht="35.5" x14ac:dyDescent="0.35">
      <c r="A26" s="18" t="s">
        <v>38</v>
      </c>
      <c r="B26" s="16"/>
      <c r="C26" s="16" t="s">
        <v>561</v>
      </c>
      <c r="D26" s="15" t="s">
        <v>560</v>
      </c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150</v>
      </c>
      <c r="F31" s="36"/>
      <c r="G31" s="37"/>
    </row>
    <row r="32" spans="1:7" ht="14.25" customHeight="1" x14ac:dyDescent="0.35">
      <c r="A32" s="35" t="s">
        <v>136</v>
      </c>
      <c r="B32" s="36"/>
      <c r="C32" s="37"/>
      <c r="D32" s="22">
        <f>VLOOKUP(A32, Materias!A2:C180, 3, FALSE)</f>
        <v>5</v>
      </c>
      <c r="E32" s="54" t="s">
        <v>50</v>
      </c>
      <c r="F32" s="36"/>
      <c r="G32" s="37"/>
    </row>
    <row r="33" spans="1:7" ht="14.25" customHeight="1" x14ac:dyDescent="0.35">
      <c r="A33" s="35" t="s">
        <v>138</v>
      </c>
      <c r="B33" s="36"/>
      <c r="C33" s="37"/>
      <c r="D33" s="22">
        <f>VLOOKUP(A33, Materias!A2:C180, 3, FALSE)</f>
        <v>6</v>
      </c>
      <c r="E33" s="41" t="s">
        <v>154</v>
      </c>
      <c r="F33" s="36"/>
      <c r="G33" s="37"/>
    </row>
    <row r="34" spans="1:7" ht="14.25" customHeight="1" x14ac:dyDescent="0.35">
      <c r="A34" s="35" t="s">
        <v>139</v>
      </c>
      <c r="B34" s="36"/>
      <c r="C34" s="37"/>
      <c r="D34" s="22">
        <f>VLOOKUP(A34, Materias!A2:C180, 3, FALSE)</f>
        <v>5</v>
      </c>
      <c r="E34" s="41" t="s">
        <v>157</v>
      </c>
      <c r="F34" s="36"/>
      <c r="G34" s="37"/>
    </row>
    <row r="35" spans="1:7" ht="14.25" customHeight="1" x14ac:dyDescent="0.35">
      <c r="A35" s="35" t="s">
        <v>137</v>
      </c>
      <c r="B35" s="36"/>
      <c r="C35" s="37"/>
      <c r="D35" s="22">
        <f>VLOOKUP(A35, Materias!A2:C180, 3, FALSE)</f>
        <v>7</v>
      </c>
      <c r="E35" s="41" t="s">
        <v>163</v>
      </c>
      <c r="F35" s="36"/>
      <c r="G35" s="37"/>
    </row>
    <row r="36" spans="1:7" ht="14.25" customHeight="1" x14ac:dyDescent="0.35">
      <c r="A36" s="35" t="s">
        <v>140</v>
      </c>
      <c r="B36" s="36"/>
      <c r="C36" s="37"/>
      <c r="D36" s="22">
        <f>VLOOKUP(A36, Materias!A2:C180, 3, FALSE)</f>
        <v>3</v>
      </c>
      <c r="E36" s="41" t="s">
        <v>159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50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Materias!A2:C180, 3, FALSE)</f>
        <v>2</v>
      </c>
      <c r="E38" s="41" t="s">
        <v>54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38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56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42:G42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8:G38"/>
    <mergeCell ref="E39:G39"/>
    <mergeCell ref="A41:G41"/>
    <mergeCell ref="A35:C35"/>
    <mergeCell ref="A36:C36"/>
    <mergeCell ref="A37:C37"/>
    <mergeCell ref="A38:C38"/>
    <mergeCell ref="A39:C39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0" xr:uid="{00000000-0002-0000-0E00-000003000000}">
      <formula1>#REF!</formula1>
    </dataValidation>
  </dataValidations>
  <printOptions horizontalCentered="1"/>
  <pageMargins left="0.25" right="0.25" top="0.75" bottom="0.75" header="0" footer="0"/>
  <pageSetup scale="6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E00-000000000000}">
          <x14:formula1>
            <xm:f>Materias!$A$29:$A$37</xm:f>
          </x14:formula1>
          <xm:sqref>A30:A38</xm:sqref>
        </x14:dataValidation>
        <x14:dataValidation type="list" allowBlank="1" xr:uid="{00000000-0002-0000-0E00-000001000000}">
          <x14:formula1>
            <xm:f>Docentes!$B$2:$B$304</xm:f>
          </x14:formula1>
          <xm:sqref>E30:E38</xm:sqref>
        </x14:dataValidation>
        <x14:dataValidation type="list" allowBlank="1" xr:uid="{00000000-0002-0000-0E00-000002000000}">
          <x14:formula1>
            <xm:f>Materias!$A$29:$A$37</xm:f>
          </x14:formula1>
          <xm:sqref>B13:G27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tabColor rgb="FFDE20DE"/>
    <pageSetUpPr fitToPage="1"/>
  </sheetPr>
  <dimension ref="A1:G1001"/>
  <sheetViews>
    <sheetView view="pageBreakPreview" topLeftCell="A24" zoomScale="60" zoomScaleNormal="50" workbookViewId="0">
      <selection activeCell="J38" sqref="J37:J38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165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473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5.5" x14ac:dyDescent="0.35">
      <c r="A16" s="18" t="s">
        <v>24</v>
      </c>
      <c r="B16" s="28" t="s">
        <v>657</v>
      </c>
      <c r="C16" s="16"/>
      <c r="D16" s="16"/>
      <c r="E16" s="16"/>
      <c r="F16" s="16"/>
      <c r="G16" s="16"/>
    </row>
    <row r="17" spans="1:7" ht="35.5" x14ac:dyDescent="0.35">
      <c r="A17" s="18" t="s">
        <v>26</v>
      </c>
      <c r="B17" s="28" t="s">
        <v>657</v>
      </c>
      <c r="C17" s="28" t="s">
        <v>657</v>
      </c>
      <c r="D17" s="28" t="s">
        <v>657</v>
      </c>
      <c r="E17" s="16"/>
      <c r="F17" s="16"/>
      <c r="G17" s="16"/>
    </row>
    <row r="18" spans="1:7" ht="35.5" x14ac:dyDescent="0.35">
      <c r="A18" s="18" t="s">
        <v>29</v>
      </c>
      <c r="B18" s="16"/>
      <c r="C18" s="16"/>
      <c r="D18" s="28" t="s">
        <v>657</v>
      </c>
      <c r="E18" s="16"/>
      <c r="F18" s="16"/>
      <c r="G18" s="16"/>
    </row>
    <row r="19" spans="1:7" ht="88" x14ac:dyDescent="0.35">
      <c r="A19" s="18" t="s">
        <v>31</v>
      </c>
      <c r="B19" s="16" t="s">
        <v>548</v>
      </c>
      <c r="C19" s="16" t="s">
        <v>552</v>
      </c>
      <c r="D19" s="16" t="s">
        <v>592</v>
      </c>
      <c r="E19" s="16"/>
      <c r="F19" s="16" t="s">
        <v>547</v>
      </c>
      <c r="G19" s="16"/>
    </row>
    <row r="20" spans="1:7" ht="88" x14ac:dyDescent="0.35">
      <c r="A20" s="18" t="s">
        <v>32</v>
      </c>
      <c r="B20" s="16" t="s">
        <v>548</v>
      </c>
      <c r="C20" s="16" t="s">
        <v>552</v>
      </c>
      <c r="D20" s="16" t="s">
        <v>592</v>
      </c>
      <c r="E20" s="16" t="s">
        <v>554</v>
      </c>
      <c r="F20" s="16" t="s">
        <v>547</v>
      </c>
      <c r="G20" s="16"/>
    </row>
    <row r="21" spans="1:7" ht="88" x14ac:dyDescent="0.35">
      <c r="A21" s="18" t="s">
        <v>33</v>
      </c>
      <c r="B21" s="16" t="s">
        <v>548</v>
      </c>
      <c r="C21" s="16" t="s">
        <v>552</v>
      </c>
      <c r="D21" s="16" t="s">
        <v>592</v>
      </c>
      <c r="E21" s="16" t="s">
        <v>554</v>
      </c>
      <c r="F21" s="16" t="s">
        <v>547</v>
      </c>
      <c r="G21" s="16"/>
    </row>
    <row r="22" spans="1:7" ht="31" x14ac:dyDescent="0.35">
      <c r="A22" s="18" t="s">
        <v>34</v>
      </c>
      <c r="B22" s="13" t="s">
        <v>45</v>
      </c>
      <c r="C22" s="13" t="s">
        <v>45</v>
      </c>
      <c r="D22" s="13" t="s">
        <v>45</v>
      </c>
      <c r="E22" s="13" t="s">
        <v>45</v>
      </c>
      <c r="F22" s="13" t="s">
        <v>45</v>
      </c>
      <c r="G22" s="16"/>
    </row>
    <row r="23" spans="1:7" ht="88" x14ac:dyDescent="0.35">
      <c r="A23" s="18" t="s">
        <v>35</v>
      </c>
      <c r="B23" s="16" t="s">
        <v>552</v>
      </c>
      <c r="C23" s="16" t="s">
        <v>548</v>
      </c>
      <c r="D23" s="16" t="s">
        <v>551</v>
      </c>
      <c r="E23" s="16" t="s">
        <v>547</v>
      </c>
      <c r="F23" s="14" t="s">
        <v>53</v>
      </c>
      <c r="G23" s="16"/>
    </row>
    <row r="24" spans="1:7" ht="71" x14ac:dyDescent="0.35">
      <c r="A24" s="18" t="s">
        <v>36</v>
      </c>
      <c r="B24" s="16"/>
      <c r="C24" s="16" t="s">
        <v>548</v>
      </c>
      <c r="D24" s="16" t="s">
        <v>551</v>
      </c>
      <c r="E24" s="16" t="s">
        <v>547</v>
      </c>
      <c r="F24" s="14" t="s">
        <v>53</v>
      </c>
      <c r="G24" s="16"/>
    </row>
    <row r="25" spans="1:7" ht="53.5" x14ac:dyDescent="0.35">
      <c r="A25" s="18" t="s">
        <v>37</v>
      </c>
      <c r="B25" s="16" t="s">
        <v>554</v>
      </c>
      <c r="C25" s="16" t="s">
        <v>553</v>
      </c>
      <c r="D25" s="16" t="s">
        <v>554</v>
      </c>
      <c r="E25" s="16" t="s">
        <v>553</v>
      </c>
      <c r="F25" s="16"/>
      <c r="G25" s="16"/>
    </row>
    <row r="26" spans="1:7" ht="53.5" x14ac:dyDescent="0.35">
      <c r="A26" s="18" t="s">
        <v>38</v>
      </c>
      <c r="B26" s="16" t="s">
        <v>554</v>
      </c>
      <c r="C26" s="16" t="s">
        <v>553</v>
      </c>
      <c r="D26" s="16" t="s">
        <v>554</v>
      </c>
      <c r="E26" s="16" t="s">
        <v>553</v>
      </c>
      <c r="F26" s="16"/>
      <c r="G26" s="16"/>
    </row>
    <row r="27" spans="1:7" ht="36" x14ac:dyDescent="0.35">
      <c r="A27" s="19" t="s">
        <v>39</v>
      </c>
      <c r="B27" s="16"/>
      <c r="C27" s="15" t="s">
        <v>533</v>
      </c>
      <c r="D27" s="16"/>
      <c r="E27" s="16" t="s">
        <v>553</v>
      </c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166</v>
      </c>
      <c r="F31" s="36"/>
      <c r="G31" s="37"/>
    </row>
    <row r="32" spans="1:7" ht="14.25" customHeight="1" x14ac:dyDescent="0.35">
      <c r="A32" s="35" t="s">
        <v>136</v>
      </c>
      <c r="B32" s="36"/>
      <c r="C32" s="37"/>
      <c r="D32" s="22">
        <f>VLOOKUP(A32, Materias!A2:C180, 3, FALSE)</f>
        <v>5</v>
      </c>
      <c r="E32" s="41" t="s">
        <v>156</v>
      </c>
      <c r="F32" s="36"/>
      <c r="G32" s="37"/>
    </row>
    <row r="33" spans="1:7" ht="14.25" customHeight="1" x14ac:dyDescent="0.35">
      <c r="A33" s="35" t="s">
        <v>138</v>
      </c>
      <c r="B33" s="36"/>
      <c r="C33" s="37"/>
      <c r="D33" s="22">
        <f>VLOOKUP(A33, Materias!A2:C180, 3, FALSE)</f>
        <v>6</v>
      </c>
      <c r="E33" s="41" t="s">
        <v>154</v>
      </c>
      <c r="F33" s="36"/>
      <c r="G33" s="37"/>
    </row>
    <row r="34" spans="1:7" ht="14.25" customHeight="1" x14ac:dyDescent="0.35">
      <c r="A34" s="35" t="s">
        <v>139</v>
      </c>
      <c r="B34" s="36"/>
      <c r="C34" s="37"/>
      <c r="D34" s="22">
        <f>VLOOKUP(A34, Materias!A2:C180, 3, FALSE)</f>
        <v>5</v>
      </c>
      <c r="E34" s="54" t="s">
        <v>157</v>
      </c>
      <c r="F34" s="36"/>
      <c r="G34" s="37"/>
    </row>
    <row r="35" spans="1:7" ht="14.25" customHeight="1" x14ac:dyDescent="0.35">
      <c r="A35" s="35" t="s">
        <v>137</v>
      </c>
      <c r="B35" s="36"/>
      <c r="C35" s="37"/>
      <c r="D35" s="22">
        <f>VLOOKUP(A35, Materias!A2:C180, 3, FALSE)</f>
        <v>7</v>
      </c>
      <c r="E35" s="41" t="s">
        <v>162</v>
      </c>
      <c r="F35" s="36"/>
      <c r="G35" s="37"/>
    </row>
    <row r="36" spans="1:7" ht="14.25" customHeight="1" x14ac:dyDescent="0.35">
      <c r="A36" s="35" t="s">
        <v>140</v>
      </c>
      <c r="B36" s="36"/>
      <c r="C36" s="37"/>
      <c r="D36" s="22">
        <f>VLOOKUP(A36, Materias!A2:C180, 3, FALSE)</f>
        <v>3</v>
      </c>
      <c r="E36" s="41" t="s">
        <v>159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157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Materias!A1:C179, 3, FALSE)</f>
        <v>2</v>
      </c>
      <c r="E38" s="41" t="s">
        <v>54</v>
      </c>
      <c r="F38" s="36"/>
      <c r="G38" s="37"/>
    </row>
    <row r="39" spans="1:7" ht="14.25" customHeight="1" x14ac:dyDescent="0.35">
      <c r="A39" s="35" t="s">
        <v>658</v>
      </c>
      <c r="B39" s="36"/>
      <c r="C39" s="37"/>
      <c r="D39" s="22">
        <v>5</v>
      </c>
      <c r="E39" s="41" t="s">
        <v>659</v>
      </c>
      <c r="F39" s="36"/>
      <c r="G39" s="37"/>
    </row>
    <row r="40" spans="1:7" ht="14.25" customHeight="1" x14ac:dyDescent="0.35">
      <c r="A40" s="38" t="s">
        <v>55</v>
      </c>
      <c r="B40" s="36"/>
      <c r="C40" s="37"/>
      <c r="D40" s="21">
        <f>SUM(D30:D38)</f>
        <v>38</v>
      </c>
      <c r="E40" s="51"/>
      <c r="F40" s="36"/>
      <c r="G40" s="37"/>
    </row>
    <row r="41" spans="1:7" ht="14.25" customHeight="1" x14ac:dyDescent="0.35">
      <c r="A41" s="23"/>
      <c r="B41" s="23"/>
      <c r="C41" s="23"/>
      <c r="D41" s="24"/>
      <c r="E41" s="25"/>
      <c r="F41" s="25"/>
      <c r="G41" s="25"/>
    </row>
    <row r="42" spans="1:7" ht="15" customHeight="1" x14ac:dyDescent="0.35">
      <c r="A42" s="52" t="s">
        <v>56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50" t="s">
        <v>57</v>
      </c>
      <c r="B43" s="30"/>
      <c r="C43" s="30"/>
      <c r="D43" s="30"/>
      <c r="E43" s="30"/>
      <c r="F43" s="30"/>
      <c r="G43" s="30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>
      <c r="A45" s="11"/>
      <c r="B45" s="11"/>
      <c r="C45" s="11"/>
      <c r="D45" s="11"/>
      <c r="E45" s="11"/>
      <c r="F45" s="8"/>
      <c r="G45" s="8"/>
    </row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mergeCells count="36">
    <mergeCell ref="A43:G43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9:G39"/>
    <mergeCell ref="E40:G40"/>
    <mergeCell ref="A42:G42"/>
    <mergeCell ref="A35:C35"/>
    <mergeCell ref="A36:C36"/>
    <mergeCell ref="A37:C37"/>
    <mergeCell ref="A39:C39"/>
    <mergeCell ref="A40:C40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8:C38"/>
    <mergeCell ref="E38:G38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1" xr:uid="{00000000-0002-0000-0F00-000003000000}">
      <formula1>#REF!</formula1>
    </dataValidation>
  </dataValidations>
  <printOptions horizontalCentered="1"/>
  <pageMargins left="0.25" right="0.25" top="0.75" bottom="0.75" header="0" footer="0"/>
  <pageSetup scale="57" orientation="portrait" r:id="rId1"/>
  <ignoredErrors>
    <ignoredError sqref="D38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F00-000000000000}">
          <x14:formula1>
            <xm:f>Materias!$A$29:$A$37</xm:f>
          </x14:formula1>
          <xm:sqref>A30:A38</xm:sqref>
        </x14:dataValidation>
        <x14:dataValidation type="list" allowBlank="1" xr:uid="{00000000-0002-0000-0F00-000001000000}">
          <x14:formula1>
            <xm:f>Docentes!$B$2:$B$304</xm:f>
          </x14:formula1>
          <xm:sqref>E30:E39</xm:sqref>
        </x14:dataValidation>
        <x14:dataValidation type="list" allowBlank="1" xr:uid="{00000000-0002-0000-0F00-000002000000}">
          <x14:formula1>
            <xm:f>Materias!$A$29:$A$37</xm:f>
          </x14:formula1>
          <xm:sqref>B13:G27 A39:C39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tabColor rgb="FFDE20DE"/>
    <pageSetUpPr fitToPage="1"/>
  </sheetPr>
  <dimension ref="A1:G1001"/>
  <sheetViews>
    <sheetView view="pageBreakPreview" topLeftCell="A24" zoomScale="60" zoomScaleNormal="50" workbookViewId="0">
      <selection activeCell="J37" sqref="J37"/>
    </sheetView>
  </sheetViews>
  <sheetFormatPr baseColWidth="10" defaultColWidth="14.453125" defaultRowHeight="15" customHeight="1" x14ac:dyDescent="0.35"/>
  <cols>
    <col min="1" max="1" width="10.54296875" customWidth="1"/>
    <col min="2" max="2" width="22.6328125" customWidth="1"/>
    <col min="3" max="7" width="20.54296875" customWidth="1"/>
    <col min="8" max="26" width="10.90625" customWidth="1"/>
  </cols>
  <sheetData>
    <row r="1" spans="1:7" ht="14.25" customHeight="1" x14ac:dyDescent="0.35">
      <c r="D1" s="1" t="s">
        <v>0</v>
      </c>
    </row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134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167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464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5.5" x14ac:dyDescent="0.35">
      <c r="A16" s="18" t="s">
        <v>24</v>
      </c>
      <c r="B16" s="28" t="s">
        <v>657</v>
      </c>
      <c r="C16" s="16"/>
      <c r="D16" s="16"/>
      <c r="E16" s="16"/>
      <c r="F16" s="16"/>
      <c r="G16" s="16"/>
    </row>
    <row r="17" spans="1:7" ht="35.5" x14ac:dyDescent="0.35">
      <c r="A17" s="18" t="s">
        <v>26</v>
      </c>
      <c r="B17" s="28" t="s">
        <v>657</v>
      </c>
      <c r="C17" s="28" t="s">
        <v>657</v>
      </c>
      <c r="D17" s="28" t="s">
        <v>657</v>
      </c>
      <c r="E17" s="16"/>
      <c r="F17" s="16"/>
      <c r="G17" s="16"/>
    </row>
    <row r="18" spans="1:7" ht="70.5" x14ac:dyDescent="0.35">
      <c r="A18" s="18" t="s">
        <v>29</v>
      </c>
      <c r="B18" s="16" t="s">
        <v>541</v>
      </c>
      <c r="C18" s="15" t="s">
        <v>655</v>
      </c>
      <c r="D18" s="28" t="s">
        <v>657</v>
      </c>
      <c r="E18" s="16"/>
      <c r="F18" s="16"/>
      <c r="G18" s="16"/>
    </row>
    <row r="19" spans="1:7" ht="70.5" x14ac:dyDescent="0.35">
      <c r="A19" s="18" t="s">
        <v>31</v>
      </c>
      <c r="B19" s="16" t="s">
        <v>541</v>
      </c>
      <c r="C19" s="16" t="s">
        <v>545</v>
      </c>
      <c r="D19" s="16"/>
      <c r="E19" s="16" t="s">
        <v>587</v>
      </c>
      <c r="F19" s="16" t="s">
        <v>554</v>
      </c>
      <c r="G19" s="16"/>
    </row>
    <row r="20" spans="1:7" ht="70.5" x14ac:dyDescent="0.35">
      <c r="A20" s="18" t="s">
        <v>32</v>
      </c>
      <c r="B20" s="16" t="s">
        <v>541</v>
      </c>
      <c r="C20" s="16" t="s">
        <v>545</v>
      </c>
      <c r="D20" s="16" t="s">
        <v>545</v>
      </c>
      <c r="E20" s="16" t="s">
        <v>587</v>
      </c>
      <c r="F20" s="16" t="s">
        <v>554</v>
      </c>
      <c r="G20" s="16"/>
    </row>
    <row r="21" spans="1:7" ht="70.5" x14ac:dyDescent="0.35">
      <c r="A21" s="18" t="s">
        <v>33</v>
      </c>
      <c r="B21" s="16" t="s">
        <v>541</v>
      </c>
      <c r="C21" s="16" t="s">
        <v>545</v>
      </c>
      <c r="D21" s="16" t="s">
        <v>545</v>
      </c>
      <c r="E21" s="16" t="s">
        <v>587</v>
      </c>
      <c r="F21" s="16" t="s">
        <v>554</v>
      </c>
      <c r="G21" s="16"/>
    </row>
    <row r="22" spans="1:7" ht="31" x14ac:dyDescent="0.35">
      <c r="A22" s="18" t="s">
        <v>34</v>
      </c>
      <c r="B22" s="13" t="s">
        <v>45</v>
      </c>
      <c r="C22" s="13" t="s">
        <v>45</v>
      </c>
      <c r="D22" s="13" t="s">
        <v>45</v>
      </c>
      <c r="E22" s="13" t="s">
        <v>45</v>
      </c>
      <c r="F22" s="13" t="s">
        <v>45</v>
      </c>
      <c r="G22" s="16"/>
    </row>
    <row r="23" spans="1:7" ht="54" x14ac:dyDescent="0.35">
      <c r="A23" s="18" t="s">
        <v>35</v>
      </c>
      <c r="B23" s="16" t="s">
        <v>559</v>
      </c>
      <c r="C23" s="16" t="s">
        <v>523</v>
      </c>
      <c r="D23" s="16" t="s">
        <v>561</v>
      </c>
      <c r="E23" s="16" t="s">
        <v>554</v>
      </c>
      <c r="F23" s="14" t="s">
        <v>53</v>
      </c>
      <c r="G23" s="16"/>
    </row>
    <row r="24" spans="1:7" ht="54" x14ac:dyDescent="0.35">
      <c r="A24" s="18" t="s">
        <v>36</v>
      </c>
      <c r="B24" s="16" t="s">
        <v>559</v>
      </c>
      <c r="C24" s="16" t="s">
        <v>523</v>
      </c>
      <c r="D24" s="16" t="s">
        <v>561</v>
      </c>
      <c r="E24" s="16" t="s">
        <v>554</v>
      </c>
      <c r="F24" s="14" t="s">
        <v>53</v>
      </c>
      <c r="G24" s="16"/>
    </row>
    <row r="25" spans="1:7" ht="53.5" x14ac:dyDescent="0.35">
      <c r="A25" s="18" t="s">
        <v>37</v>
      </c>
      <c r="B25" s="16" t="s">
        <v>523</v>
      </c>
      <c r="C25" s="16" t="s">
        <v>523</v>
      </c>
      <c r="D25" s="16" t="s">
        <v>561</v>
      </c>
      <c r="E25" s="16" t="s">
        <v>554</v>
      </c>
      <c r="F25" s="16"/>
      <c r="G25" s="16"/>
    </row>
    <row r="26" spans="1:7" ht="53" x14ac:dyDescent="0.35">
      <c r="A26" s="18" t="s">
        <v>38</v>
      </c>
      <c r="B26" s="16" t="s">
        <v>523</v>
      </c>
      <c r="C26" s="16"/>
      <c r="D26" s="16" t="s">
        <v>523</v>
      </c>
      <c r="E26" s="16" t="s">
        <v>523</v>
      </c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45</v>
      </c>
      <c r="B30" s="36"/>
      <c r="C30" s="37"/>
      <c r="D30" s="22">
        <f>VLOOKUP(A30, Materias!A2:C180, 3, FALSE)</f>
        <v>5</v>
      </c>
      <c r="E30" s="41" t="s">
        <v>46</v>
      </c>
      <c r="F30" s="36"/>
      <c r="G30" s="37"/>
    </row>
    <row r="31" spans="1:7" ht="14.25" customHeight="1" x14ac:dyDescent="0.35">
      <c r="A31" s="35" t="s">
        <v>17</v>
      </c>
      <c r="B31" s="36"/>
      <c r="C31" s="37"/>
      <c r="D31" s="22">
        <f>VLOOKUP(A31, Materias!A2:C180, 3, FALSE)</f>
        <v>4</v>
      </c>
      <c r="E31" s="41" t="s">
        <v>161</v>
      </c>
      <c r="F31" s="36"/>
      <c r="G31" s="37"/>
    </row>
    <row r="32" spans="1:7" ht="14.25" customHeight="1" x14ac:dyDescent="0.35">
      <c r="A32" s="35" t="s">
        <v>136</v>
      </c>
      <c r="B32" s="36"/>
      <c r="C32" s="37"/>
      <c r="D32" s="22">
        <f>VLOOKUP(A32, Materias!A2:C180, 3, FALSE)</f>
        <v>5</v>
      </c>
      <c r="E32" s="41" t="s">
        <v>162</v>
      </c>
      <c r="F32" s="36"/>
      <c r="G32" s="37"/>
    </row>
    <row r="33" spans="1:7" ht="14.25" customHeight="1" x14ac:dyDescent="0.35">
      <c r="A33" s="35" t="s">
        <v>138</v>
      </c>
      <c r="B33" s="36"/>
      <c r="C33" s="37"/>
      <c r="D33" s="22">
        <f>VLOOKUP(A33, Materias!A2:C180, 3, FALSE)</f>
        <v>6</v>
      </c>
      <c r="E33" s="41" t="s">
        <v>154</v>
      </c>
      <c r="F33" s="36"/>
      <c r="G33" s="37"/>
    </row>
    <row r="34" spans="1:7" ht="14.25" customHeight="1" x14ac:dyDescent="0.35">
      <c r="A34" s="35" t="s">
        <v>139</v>
      </c>
      <c r="B34" s="36"/>
      <c r="C34" s="37"/>
      <c r="D34" s="22">
        <f>VLOOKUP(A34, Materias!A2:C180, 3, FALSE)</f>
        <v>5</v>
      </c>
      <c r="E34" s="41" t="s">
        <v>168</v>
      </c>
      <c r="F34" s="36"/>
      <c r="G34" s="37"/>
    </row>
    <row r="35" spans="1:7" ht="14.25" customHeight="1" x14ac:dyDescent="0.35">
      <c r="A35" s="35" t="s">
        <v>137</v>
      </c>
      <c r="B35" s="36"/>
      <c r="C35" s="37"/>
      <c r="D35" s="22">
        <f>VLOOKUP(A35, Materias!A2:C180, 3, FALSE)</f>
        <v>7</v>
      </c>
      <c r="E35" s="41" t="s">
        <v>169</v>
      </c>
      <c r="F35" s="36"/>
      <c r="G35" s="37"/>
    </row>
    <row r="36" spans="1:7" ht="14.25" customHeight="1" x14ac:dyDescent="0.35">
      <c r="A36" s="35" t="s">
        <v>140</v>
      </c>
      <c r="B36" s="36"/>
      <c r="C36" s="37"/>
      <c r="D36" s="22">
        <f>VLOOKUP(A36, Materias!A2:C180, 3, FALSE)</f>
        <v>3</v>
      </c>
      <c r="E36" s="41" t="s">
        <v>159</v>
      </c>
      <c r="F36" s="36"/>
      <c r="G36" s="37"/>
    </row>
    <row r="37" spans="1:7" ht="14.25" customHeight="1" x14ac:dyDescent="0.35">
      <c r="A37" s="35" t="s">
        <v>22</v>
      </c>
      <c r="B37" s="36"/>
      <c r="C37" s="37"/>
      <c r="D37" s="22">
        <f>VLOOKUP(A37, Materias!A2:C180, 3, FALSE)</f>
        <v>1</v>
      </c>
      <c r="E37" s="41" t="s">
        <v>161</v>
      </c>
      <c r="F37" s="36"/>
      <c r="G37" s="37"/>
    </row>
    <row r="38" spans="1:7" ht="14.25" customHeight="1" x14ac:dyDescent="0.35">
      <c r="A38" s="35" t="s">
        <v>53</v>
      </c>
      <c r="B38" s="36"/>
      <c r="C38" s="37"/>
      <c r="D38" s="22">
        <f>VLOOKUP(A38, Materias!A1:C179, 3, FALSE)</f>
        <v>2</v>
      </c>
      <c r="E38" s="41" t="s">
        <v>54</v>
      </c>
      <c r="F38" s="36"/>
      <c r="G38" s="37"/>
    </row>
    <row r="39" spans="1:7" ht="14.25" customHeight="1" x14ac:dyDescent="0.35">
      <c r="A39" s="35" t="s">
        <v>658</v>
      </c>
      <c r="B39" s="36"/>
      <c r="C39" s="37"/>
      <c r="D39" s="22">
        <v>5</v>
      </c>
      <c r="E39" s="41" t="s">
        <v>659</v>
      </c>
      <c r="F39" s="36"/>
      <c r="G39" s="37"/>
    </row>
    <row r="40" spans="1:7" ht="14.25" customHeight="1" x14ac:dyDescent="0.35">
      <c r="A40" s="38" t="s">
        <v>55</v>
      </c>
      <c r="B40" s="36"/>
      <c r="C40" s="37"/>
      <c r="D40" s="21">
        <f>SUM(D30:D38)</f>
        <v>38</v>
      </c>
      <c r="E40" s="51"/>
      <c r="F40" s="36"/>
      <c r="G40" s="37"/>
    </row>
    <row r="41" spans="1:7" ht="14.25" customHeight="1" x14ac:dyDescent="0.35">
      <c r="A41" s="23"/>
      <c r="B41" s="23"/>
      <c r="C41" s="23"/>
      <c r="D41" s="24"/>
      <c r="E41" s="25"/>
      <c r="F41" s="25"/>
      <c r="G41" s="25"/>
    </row>
    <row r="42" spans="1:7" ht="15" customHeight="1" x14ac:dyDescent="0.35">
      <c r="A42" s="52" t="s">
        <v>56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50" t="s">
        <v>57</v>
      </c>
      <c r="B43" s="30"/>
      <c r="C43" s="30"/>
      <c r="D43" s="30"/>
      <c r="E43" s="30"/>
      <c r="F43" s="30"/>
      <c r="G43" s="30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>
      <c r="A45" s="11"/>
      <c r="B45" s="11"/>
      <c r="C45" s="11"/>
      <c r="D45" s="11"/>
      <c r="E45" s="11"/>
      <c r="F45" s="8"/>
      <c r="G45" s="8"/>
    </row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mergeCells count="36">
    <mergeCell ref="A43:G43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9:G39"/>
    <mergeCell ref="E40:G40"/>
    <mergeCell ref="A42:G42"/>
    <mergeCell ref="A35:C35"/>
    <mergeCell ref="A36:C36"/>
    <mergeCell ref="A37:C37"/>
    <mergeCell ref="A39:C39"/>
    <mergeCell ref="A40:C40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8:C38"/>
    <mergeCell ref="E38:G38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1" xr:uid="{00000000-0002-0000-1000-000003000000}">
      <formula1>#REF!</formula1>
    </dataValidation>
  </dataValidations>
  <printOptions horizontalCentered="1"/>
  <pageMargins left="0.25" right="0.25" top="0.75" bottom="0.75" header="0" footer="0"/>
  <pageSetup scale="6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000-000000000000}">
          <x14:formula1>
            <xm:f>Materias!$A$29:$A$37</xm:f>
          </x14:formula1>
          <xm:sqref>A30:A38</xm:sqref>
        </x14:dataValidation>
        <x14:dataValidation type="list" allowBlank="1" xr:uid="{00000000-0002-0000-1000-000001000000}">
          <x14:formula1>
            <xm:f>Docentes!$B$2:$B$304</xm:f>
          </x14:formula1>
          <xm:sqref>E30:E39</xm:sqref>
        </x14:dataValidation>
        <x14:dataValidation type="list" allowBlank="1" xr:uid="{00000000-0002-0000-1000-000002000000}">
          <x14:formula1>
            <xm:f>Materias!$A$29:$A$37</xm:f>
          </x14:formula1>
          <xm:sqref>B13:G27 A39:C39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tabColor rgb="FF92D050"/>
    <pageSetUpPr fitToPage="1"/>
  </sheetPr>
  <dimension ref="A1:G1000"/>
  <sheetViews>
    <sheetView view="pageBreakPreview" topLeftCell="A13" zoomScale="60" zoomScaleNormal="50" workbookViewId="0">
      <selection activeCell="B19" sqref="B19:B20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170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171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462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3" x14ac:dyDescent="0.35">
      <c r="A13" s="18" t="s">
        <v>16</v>
      </c>
      <c r="B13" s="16" t="s">
        <v>573</v>
      </c>
      <c r="C13" s="16"/>
      <c r="D13" s="16"/>
      <c r="E13" s="16" t="s">
        <v>573</v>
      </c>
      <c r="F13" s="16" t="s">
        <v>570</v>
      </c>
      <c r="G13" s="16"/>
    </row>
    <row r="14" spans="1:7" ht="53" x14ac:dyDescent="0.35">
      <c r="A14" s="18" t="s">
        <v>20</v>
      </c>
      <c r="B14" s="16" t="s">
        <v>573</v>
      </c>
      <c r="C14" s="16" t="s">
        <v>569</v>
      </c>
      <c r="D14" s="16" t="s">
        <v>598</v>
      </c>
      <c r="E14" s="16" t="s">
        <v>598</v>
      </c>
      <c r="F14" s="16" t="s">
        <v>570</v>
      </c>
      <c r="G14" s="16"/>
    </row>
    <row r="15" spans="1:7" ht="53" x14ac:dyDescent="0.35">
      <c r="A15" s="18" t="s">
        <v>21</v>
      </c>
      <c r="B15" s="16" t="s">
        <v>573</v>
      </c>
      <c r="C15" s="16" t="s">
        <v>569</v>
      </c>
      <c r="D15" s="16" t="s">
        <v>569</v>
      </c>
      <c r="E15" s="16" t="s">
        <v>598</v>
      </c>
      <c r="F15" s="16" t="s">
        <v>571</v>
      </c>
      <c r="G15" s="16"/>
    </row>
    <row r="16" spans="1:7" ht="53" x14ac:dyDescent="0.35">
      <c r="A16" s="18" t="s">
        <v>24</v>
      </c>
      <c r="B16" s="13" t="s">
        <v>177</v>
      </c>
      <c r="C16" s="13" t="s">
        <v>177</v>
      </c>
      <c r="D16" s="13" t="s">
        <v>177</v>
      </c>
      <c r="E16" s="13" t="s">
        <v>177</v>
      </c>
      <c r="F16" s="16" t="s">
        <v>571</v>
      </c>
      <c r="G16" s="16"/>
    </row>
    <row r="17" spans="1:7" ht="53" x14ac:dyDescent="0.35">
      <c r="A17" s="18" t="s">
        <v>26</v>
      </c>
      <c r="B17" s="16" t="s">
        <v>567</v>
      </c>
      <c r="C17" s="16" t="s">
        <v>567</v>
      </c>
      <c r="D17" s="16" t="s">
        <v>567</v>
      </c>
      <c r="E17" s="16" t="s">
        <v>569</v>
      </c>
      <c r="F17" s="16" t="s">
        <v>571</v>
      </c>
      <c r="G17" s="16"/>
    </row>
    <row r="18" spans="1:7" ht="35.5" x14ac:dyDescent="0.35">
      <c r="A18" s="18" t="s">
        <v>29</v>
      </c>
      <c r="B18" s="16" t="s">
        <v>567</v>
      </c>
      <c r="C18" s="16" t="s">
        <v>567</v>
      </c>
      <c r="D18" s="16" t="s">
        <v>567</v>
      </c>
      <c r="E18" s="16" t="s">
        <v>568</v>
      </c>
      <c r="F18" s="16" t="s">
        <v>573</v>
      </c>
      <c r="G18" s="16"/>
    </row>
    <row r="19" spans="1:7" ht="35.5" x14ac:dyDescent="0.35">
      <c r="A19" s="18" t="s">
        <v>31</v>
      </c>
      <c r="B19" s="16" t="s">
        <v>598</v>
      </c>
      <c r="C19" s="16" t="s">
        <v>568</v>
      </c>
      <c r="D19" s="16" t="s">
        <v>567</v>
      </c>
      <c r="E19" s="16" t="s">
        <v>568</v>
      </c>
      <c r="F19" s="16" t="s">
        <v>573</v>
      </c>
      <c r="G19" s="16"/>
    </row>
    <row r="20" spans="1:7" ht="35.5" x14ac:dyDescent="0.35">
      <c r="A20" s="18" t="s">
        <v>32</v>
      </c>
      <c r="B20" s="16" t="s">
        <v>598</v>
      </c>
      <c r="C20" s="16"/>
      <c r="D20" s="16"/>
      <c r="E20" s="16"/>
      <c r="F20" s="16"/>
      <c r="G20" s="16"/>
    </row>
    <row r="21" spans="1:7" ht="31" x14ac:dyDescent="0.35">
      <c r="A21" s="18" t="s">
        <v>33</v>
      </c>
      <c r="B21" s="16"/>
      <c r="C21" s="16"/>
      <c r="D21" s="16"/>
      <c r="E21" s="16"/>
      <c r="F21" s="16"/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176</v>
      </c>
      <c r="B30" s="36"/>
      <c r="C30" s="37"/>
      <c r="D30" s="22">
        <f>VLOOKUP(A30, Materias!A2:C500, 3, FALSE)</f>
        <v>3</v>
      </c>
      <c r="E30" s="41" t="s">
        <v>50</v>
      </c>
      <c r="F30" s="36"/>
      <c r="G30" s="37"/>
    </row>
    <row r="31" spans="1:7" ht="14.25" customHeight="1" x14ac:dyDescent="0.35">
      <c r="A31" s="35" t="s">
        <v>179</v>
      </c>
      <c r="B31" s="36"/>
      <c r="C31" s="37"/>
      <c r="D31" s="22">
        <f>VLOOKUP(A31, Materias!A2:C500, 3, FALSE)</f>
        <v>3</v>
      </c>
      <c r="E31" s="41" t="s">
        <v>159</v>
      </c>
      <c r="F31" s="36"/>
      <c r="G31" s="37"/>
    </row>
    <row r="32" spans="1:7" ht="14.25" customHeight="1" x14ac:dyDescent="0.35">
      <c r="A32" s="35" t="s">
        <v>175</v>
      </c>
      <c r="B32" s="36"/>
      <c r="C32" s="37"/>
      <c r="D32" s="22">
        <f>VLOOKUP(A32, Materias!A2:C500, 3, FALSE)</f>
        <v>5</v>
      </c>
      <c r="E32" s="41" t="s">
        <v>145</v>
      </c>
      <c r="F32" s="36"/>
      <c r="G32" s="37"/>
    </row>
    <row r="33" spans="1:7" ht="14.25" customHeight="1" x14ac:dyDescent="0.35">
      <c r="A33" s="35" t="s">
        <v>178</v>
      </c>
      <c r="B33" s="36"/>
      <c r="C33" s="37"/>
      <c r="D33" s="22">
        <f>VLOOKUP(A33, Materias!A2:C500, 3, FALSE)</f>
        <v>7</v>
      </c>
      <c r="E33" s="41" t="s">
        <v>168</v>
      </c>
      <c r="F33" s="36"/>
      <c r="G33" s="37"/>
    </row>
    <row r="34" spans="1:7" ht="14.25" customHeight="1" x14ac:dyDescent="0.35">
      <c r="A34" s="35" t="s">
        <v>174</v>
      </c>
      <c r="B34" s="36"/>
      <c r="C34" s="37"/>
      <c r="D34" s="22">
        <f>VLOOKUP(A34, Materias!A2:C500, 3, FALSE)</f>
        <v>4</v>
      </c>
      <c r="E34" s="41" t="s">
        <v>163</v>
      </c>
      <c r="F34" s="36"/>
      <c r="G34" s="37"/>
    </row>
    <row r="35" spans="1:7" ht="14.25" customHeight="1" x14ac:dyDescent="0.35">
      <c r="A35" s="35" t="s">
        <v>172</v>
      </c>
      <c r="B35" s="36"/>
      <c r="C35" s="37"/>
      <c r="D35" s="22">
        <f>VLOOKUP(A35, Materias!A2:C500, 3, FALSE)</f>
        <v>6</v>
      </c>
      <c r="E35" s="41" t="s">
        <v>144</v>
      </c>
      <c r="F35" s="36"/>
      <c r="G35" s="37"/>
    </row>
    <row r="36" spans="1:7" ht="14.25" customHeight="1" x14ac:dyDescent="0.35">
      <c r="A36" s="35" t="s">
        <v>177</v>
      </c>
      <c r="B36" s="36"/>
      <c r="C36" s="37"/>
      <c r="D36" s="22">
        <f>VLOOKUP(A36, Materias!A2:C500, 3, FALSE)</f>
        <v>4</v>
      </c>
      <c r="E36" s="41" t="s">
        <v>46</v>
      </c>
      <c r="F36" s="36"/>
      <c r="G36" s="37"/>
    </row>
    <row r="37" spans="1:7" ht="14.25" customHeight="1" x14ac:dyDescent="0.35">
      <c r="A37" s="35" t="s">
        <v>173</v>
      </c>
      <c r="B37" s="36"/>
      <c r="C37" s="37"/>
      <c r="D37" s="22">
        <f>VLOOKUP(A37, Materias!A2:C500, 3, FALSE)</f>
        <v>2</v>
      </c>
      <c r="E37" s="41" t="s">
        <v>47</v>
      </c>
      <c r="F37" s="36"/>
      <c r="G37" s="37"/>
    </row>
    <row r="38" spans="1:7" ht="14.25" customHeight="1" x14ac:dyDescent="0.35">
      <c r="A38" s="38" t="s">
        <v>55</v>
      </c>
      <c r="B38" s="36"/>
      <c r="C38" s="37"/>
      <c r="D38" s="21">
        <f>SUM(D30:D37)</f>
        <v>34</v>
      </c>
      <c r="E38" s="51"/>
      <c r="F38" s="36"/>
      <c r="G38" s="37"/>
    </row>
    <row r="39" spans="1:7" ht="14.25" customHeight="1" x14ac:dyDescent="0.35">
      <c r="A39" s="23"/>
      <c r="B39" s="23"/>
      <c r="C39" s="23"/>
      <c r="D39" s="24"/>
      <c r="E39" s="25"/>
      <c r="F39" s="25"/>
      <c r="G39" s="25"/>
    </row>
    <row r="40" spans="1:7" ht="15" customHeight="1" x14ac:dyDescent="0.35">
      <c r="A40" s="52" t="s">
        <v>180</v>
      </c>
      <c r="B40" s="30"/>
      <c r="C40" s="30"/>
      <c r="D40" s="30"/>
      <c r="E40" s="30"/>
      <c r="F40" s="30"/>
      <c r="G40" s="30"/>
    </row>
    <row r="41" spans="1:7" ht="14.25" customHeight="1" x14ac:dyDescent="0.35">
      <c r="A41" s="50" t="s">
        <v>57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11"/>
      <c r="B42" s="11"/>
      <c r="C42" s="11"/>
      <c r="D42" s="11"/>
      <c r="E42" s="11"/>
      <c r="F42" s="8"/>
      <c r="G42" s="8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2">
    <mergeCell ref="A40:G40"/>
    <mergeCell ref="A41:G41"/>
    <mergeCell ref="A32:C32"/>
    <mergeCell ref="E32:G32"/>
    <mergeCell ref="A33:C33"/>
    <mergeCell ref="E33:G33"/>
    <mergeCell ref="A34:C34"/>
    <mergeCell ref="E34:G34"/>
    <mergeCell ref="E35:G35"/>
    <mergeCell ref="A35:C35"/>
    <mergeCell ref="A36:C36"/>
    <mergeCell ref="A37:C37"/>
    <mergeCell ref="A38:C38"/>
    <mergeCell ref="E36:G36"/>
    <mergeCell ref="E37:G37"/>
    <mergeCell ref="E38:G38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9" xr:uid="{00000000-0002-0000-1100-000002000000}">
      <formula1>#REF!</formula1>
    </dataValidation>
  </dataValidations>
  <printOptions horizontalCentered="1"/>
  <pageMargins left="0.25" right="0.25" top="0.75" bottom="0.75" header="0" footer="0"/>
  <pageSetup scale="7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100-000000000000}">
          <x14:formula1>
            <xm:f>Materias!$A$38:$A$45</xm:f>
          </x14:formula1>
          <xm:sqref>A30:A37</xm:sqref>
        </x14:dataValidation>
        <x14:dataValidation type="list" allowBlank="1" xr:uid="{00000000-0002-0000-1100-000001000000}">
          <x14:formula1>
            <xm:f>Docentes!$B$2:$B$208</xm:f>
          </x14:formula1>
          <xm:sqref>E30:E37</xm:sqref>
        </x14:dataValidation>
        <x14:dataValidation type="list" allowBlank="1" xr:uid="{00000000-0002-0000-1100-000003000000}">
          <x14:formula1>
            <xm:f>Materias!$A$38:$A$45</xm:f>
          </x14:formula1>
          <xm:sqref>B13:G27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tabColor rgb="FF92D050"/>
    <pageSetUpPr fitToPage="1"/>
  </sheetPr>
  <dimension ref="A1:G1000"/>
  <sheetViews>
    <sheetView view="pageBreakPreview" topLeftCell="A4" zoomScale="60" zoomScaleNormal="50" workbookViewId="0">
      <selection activeCell="B16" sqref="B16:E16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170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181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470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5.5" x14ac:dyDescent="0.35">
      <c r="A13" s="18" t="s">
        <v>16</v>
      </c>
      <c r="B13" s="16"/>
      <c r="C13" s="16" t="s">
        <v>577</v>
      </c>
      <c r="D13" s="16"/>
      <c r="E13" s="16"/>
      <c r="F13" s="16"/>
      <c r="G13" s="16"/>
    </row>
    <row r="14" spans="1:7" ht="35.5" x14ac:dyDescent="0.35">
      <c r="A14" s="18" t="s">
        <v>20</v>
      </c>
      <c r="B14" s="16" t="s">
        <v>580</v>
      </c>
      <c r="C14" s="16" t="s">
        <v>577</v>
      </c>
      <c r="D14" s="16" t="s">
        <v>580</v>
      </c>
      <c r="E14" s="16" t="s">
        <v>578</v>
      </c>
      <c r="F14" s="16" t="s">
        <v>578</v>
      </c>
      <c r="G14" s="16"/>
    </row>
    <row r="15" spans="1:7" ht="35.5" x14ac:dyDescent="0.35">
      <c r="A15" s="18" t="s">
        <v>21</v>
      </c>
      <c r="B15" s="16" t="s">
        <v>580</v>
      </c>
      <c r="C15" s="16" t="s">
        <v>577</v>
      </c>
      <c r="D15" s="16" t="s">
        <v>580</v>
      </c>
      <c r="E15" s="16" t="s">
        <v>578</v>
      </c>
      <c r="F15" s="16" t="s">
        <v>578</v>
      </c>
      <c r="G15" s="16"/>
    </row>
    <row r="16" spans="1:7" ht="35.5" x14ac:dyDescent="0.35">
      <c r="A16" s="18" t="s">
        <v>24</v>
      </c>
      <c r="B16" s="13" t="s">
        <v>185</v>
      </c>
      <c r="C16" s="13" t="s">
        <v>185</v>
      </c>
      <c r="D16" s="13" t="s">
        <v>185</v>
      </c>
      <c r="E16" s="13" t="s">
        <v>185</v>
      </c>
      <c r="F16" s="16" t="s">
        <v>578</v>
      </c>
      <c r="G16" s="16"/>
    </row>
    <row r="17" spans="1:7" ht="53" x14ac:dyDescent="0.35">
      <c r="A17" s="18" t="s">
        <v>26</v>
      </c>
      <c r="B17" s="16" t="s">
        <v>574</v>
      </c>
      <c r="C17" s="16" t="s">
        <v>574</v>
      </c>
      <c r="D17" s="16" t="s">
        <v>575</v>
      </c>
      <c r="E17" s="16" t="s">
        <v>580</v>
      </c>
      <c r="F17" s="16" t="s">
        <v>575</v>
      </c>
      <c r="G17" s="16"/>
    </row>
    <row r="18" spans="1:7" ht="53.5" x14ac:dyDescent="0.35">
      <c r="A18" s="18" t="s">
        <v>29</v>
      </c>
      <c r="B18" s="16" t="s">
        <v>574</v>
      </c>
      <c r="C18" s="16" t="s">
        <v>574</v>
      </c>
      <c r="D18" s="16" t="s">
        <v>575</v>
      </c>
      <c r="E18" s="16" t="s">
        <v>582</v>
      </c>
      <c r="F18" s="16" t="s">
        <v>577</v>
      </c>
      <c r="G18" s="16"/>
    </row>
    <row r="19" spans="1:7" ht="53.5" x14ac:dyDescent="0.35">
      <c r="A19" s="18" t="s">
        <v>31</v>
      </c>
      <c r="B19" s="16" t="s">
        <v>579</v>
      </c>
      <c r="C19" s="16" t="s">
        <v>582</v>
      </c>
      <c r="D19" s="16" t="s">
        <v>576</v>
      </c>
      <c r="E19" s="16" t="s">
        <v>582</v>
      </c>
      <c r="F19" s="16"/>
      <c r="G19" s="16"/>
    </row>
    <row r="20" spans="1:7" ht="53.5" x14ac:dyDescent="0.35">
      <c r="A20" s="18" t="s">
        <v>32</v>
      </c>
      <c r="B20" s="16" t="s">
        <v>579</v>
      </c>
      <c r="C20" s="16" t="s">
        <v>582</v>
      </c>
      <c r="D20" s="16" t="s">
        <v>576</v>
      </c>
      <c r="E20" s="16" t="s">
        <v>582</v>
      </c>
      <c r="F20" s="16"/>
      <c r="G20" s="16"/>
    </row>
    <row r="21" spans="1:7" ht="31" x14ac:dyDescent="0.35">
      <c r="A21" s="18" t="s">
        <v>33</v>
      </c>
      <c r="B21" s="16" t="s">
        <v>576</v>
      </c>
      <c r="C21" s="16"/>
      <c r="D21" s="16" t="s">
        <v>576</v>
      </c>
      <c r="E21" s="16"/>
      <c r="F21" s="16"/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188</v>
      </c>
      <c r="B30" s="36"/>
      <c r="C30" s="37"/>
      <c r="D30" s="22">
        <f>VLOOKUP(A30, Materias!A2:C180, 3, FALSE)</f>
        <v>4</v>
      </c>
      <c r="E30" s="41" t="s">
        <v>162</v>
      </c>
      <c r="F30" s="36"/>
      <c r="G30" s="37"/>
    </row>
    <row r="31" spans="1:7" ht="14.25" customHeight="1" x14ac:dyDescent="0.35">
      <c r="A31" s="35" t="s">
        <v>187</v>
      </c>
      <c r="B31" s="36"/>
      <c r="C31" s="37"/>
      <c r="D31" s="22">
        <f>VLOOKUP(A31, Materias!A2:C180, 3, FALSE)</f>
        <v>5</v>
      </c>
      <c r="E31" s="41" t="s">
        <v>190</v>
      </c>
      <c r="F31" s="36"/>
      <c r="G31" s="37"/>
    </row>
    <row r="32" spans="1:7" ht="14.25" customHeight="1" x14ac:dyDescent="0.35">
      <c r="A32" s="35" t="s">
        <v>186</v>
      </c>
      <c r="B32" s="36"/>
      <c r="C32" s="37"/>
      <c r="D32" s="22">
        <f>VLOOKUP(A32, Materias!A2:C180, 3, FALSE)</f>
        <v>4</v>
      </c>
      <c r="E32" s="54" t="s">
        <v>153</v>
      </c>
      <c r="F32" s="36"/>
      <c r="G32" s="37"/>
    </row>
    <row r="33" spans="1:7" ht="14.25" customHeight="1" x14ac:dyDescent="0.35">
      <c r="A33" s="35" t="s">
        <v>182</v>
      </c>
      <c r="B33" s="36"/>
      <c r="C33" s="37"/>
      <c r="D33" s="22">
        <f>VLOOKUP(A33, Materias!A2:C180, 3, FALSE)</f>
        <v>5</v>
      </c>
      <c r="E33" s="41" t="s">
        <v>156</v>
      </c>
      <c r="F33" s="36"/>
      <c r="G33" s="37"/>
    </row>
    <row r="34" spans="1:7" ht="14.25" customHeight="1" x14ac:dyDescent="0.35">
      <c r="A34" s="35" t="s">
        <v>189</v>
      </c>
      <c r="B34" s="36"/>
      <c r="C34" s="37"/>
      <c r="D34" s="22">
        <f>VLOOKUP(A34, Materias!A2:C180, 3, FALSE)</f>
        <v>2</v>
      </c>
      <c r="E34" s="41" t="s">
        <v>168</v>
      </c>
      <c r="F34" s="36"/>
      <c r="G34" s="37"/>
    </row>
    <row r="35" spans="1:7" ht="14.25" customHeight="1" x14ac:dyDescent="0.35">
      <c r="A35" s="35" t="s">
        <v>183</v>
      </c>
      <c r="B35" s="36"/>
      <c r="C35" s="37"/>
      <c r="D35" s="22">
        <f>VLOOKUP(A35, Materias!A2:C180, 3, FALSE)</f>
        <v>4</v>
      </c>
      <c r="E35" s="41" t="s">
        <v>154</v>
      </c>
      <c r="F35" s="36"/>
      <c r="G35" s="37"/>
    </row>
    <row r="36" spans="1:7" ht="14.25" customHeight="1" x14ac:dyDescent="0.35">
      <c r="A36" s="35" t="s">
        <v>184</v>
      </c>
      <c r="B36" s="36"/>
      <c r="C36" s="37"/>
      <c r="D36" s="22">
        <f>VLOOKUP(A36, Materias!A2:C180, 3, FALSE)</f>
        <v>5</v>
      </c>
      <c r="E36" s="41" t="s">
        <v>146</v>
      </c>
      <c r="F36" s="36"/>
      <c r="G36" s="37"/>
    </row>
    <row r="37" spans="1:7" ht="14.25" customHeight="1" x14ac:dyDescent="0.35">
      <c r="A37" s="35" t="s">
        <v>185</v>
      </c>
      <c r="B37" s="36"/>
      <c r="C37" s="37"/>
      <c r="D37" s="22">
        <f>VLOOKUP(A37, Materias!A2:C180, 3, FALSE)</f>
        <v>4</v>
      </c>
      <c r="E37" s="41" t="s">
        <v>46</v>
      </c>
      <c r="F37" s="36"/>
      <c r="G37" s="37"/>
    </row>
    <row r="38" spans="1:7" ht="14.25" customHeight="1" x14ac:dyDescent="0.35">
      <c r="A38" s="35" t="s">
        <v>191</v>
      </c>
      <c r="B38" s="36"/>
      <c r="C38" s="37"/>
      <c r="D38" s="22">
        <f>VLOOKUP(A38, Materias!A2:C180, 3, FALSE)</f>
        <v>3</v>
      </c>
      <c r="E38" s="41" t="s">
        <v>163</v>
      </c>
      <c r="F38" s="36"/>
      <c r="G38" s="37"/>
    </row>
    <row r="39" spans="1:7" ht="14.25" customHeight="1" x14ac:dyDescent="0.35">
      <c r="A39" s="38" t="s">
        <v>55</v>
      </c>
      <c r="B39" s="36"/>
      <c r="C39" s="37"/>
      <c r="D39" s="21">
        <f>SUM(D30:D38)</f>
        <v>36</v>
      </c>
      <c r="E39" s="51"/>
      <c r="F39" s="36"/>
      <c r="G39" s="37"/>
    </row>
    <row r="40" spans="1:7" ht="14.25" customHeight="1" x14ac:dyDescent="0.35">
      <c r="A40" s="23"/>
      <c r="B40" s="23"/>
      <c r="C40" s="23"/>
      <c r="D40" s="24"/>
      <c r="E40" s="25"/>
      <c r="F40" s="25"/>
      <c r="G40" s="25"/>
    </row>
    <row r="41" spans="1:7" ht="15" customHeight="1" x14ac:dyDescent="0.35">
      <c r="A41" s="52" t="s">
        <v>180</v>
      </c>
      <c r="B41" s="30"/>
      <c r="C41" s="30"/>
      <c r="D41" s="30"/>
      <c r="E41" s="30"/>
      <c r="F41" s="30"/>
      <c r="G41" s="30"/>
    </row>
    <row r="42" spans="1:7" ht="14.25" customHeight="1" x14ac:dyDescent="0.35">
      <c r="A42" s="50" t="s">
        <v>57</v>
      </c>
      <c r="B42" s="30"/>
      <c r="C42" s="30"/>
      <c r="D42" s="30"/>
      <c r="E42" s="30"/>
      <c r="F42" s="30"/>
      <c r="G42" s="30"/>
    </row>
    <row r="43" spans="1:7" ht="14.25" customHeight="1" x14ac:dyDescent="0.35">
      <c r="A43" s="11"/>
      <c r="B43" s="11"/>
      <c r="C43" s="11"/>
      <c r="D43" s="11"/>
      <c r="E43" s="11"/>
      <c r="F43" s="8"/>
      <c r="G43" s="8"/>
    </row>
    <row r="44" spans="1:7" ht="14.25" customHeight="1" x14ac:dyDescent="0.35">
      <c r="A44" s="11"/>
      <c r="B44" s="11"/>
      <c r="C44" s="11"/>
      <c r="D44" s="11"/>
      <c r="E44" s="11"/>
      <c r="F44" s="8"/>
      <c r="G44" s="8"/>
    </row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4">
    <mergeCell ref="A42:G42"/>
    <mergeCell ref="A32:C32"/>
    <mergeCell ref="E32:G32"/>
    <mergeCell ref="A33:C33"/>
    <mergeCell ref="E33:G33"/>
    <mergeCell ref="A34:C34"/>
    <mergeCell ref="E34:G34"/>
    <mergeCell ref="E35:G35"/>
    <mergeCell ref="E36:G36"/>
    <mergeCell ref="E37:G37"/>
    <mergeCell ref="E38:G38"/>
    <mergeCell ref="E39:G39"/>
    <mergeCell ref="A41:G41"/>
    <mergeCell ref="A35:C35"/>
    <mergeCell ref="A36:C36"/>
    <mergeCell ref="A37:C37"/>
    <mergeCell ref="A38:C38"/>
    <mergeCell ref="A39:C39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40" xr:uid="{00000000-0002-0000-1200-000003000000}">
      <formula1>#REF!</formula1>
    </dataValidation>
  </dataValidations>
  <printOptions horizontalCentered="1"/>
  <pageMargins left="0.25" right="0.25" top="0.75" bottom="0.75" header="0" footer="0"/>
  <pageSetup scale="7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200-000000000000}">
          <x14:formula1>
            <xm:f>Materias!$A$46:$A$54</xm:f>
          </x14:formula1>
          <xm:sqref>A30:A38</xm:sqref>
        </x14:dataValidation>
        <x14:dataValidation type="list" allowBlank="1" xr:uid="{00000000-0002-0000-1200-000001000000}">
          <x14:formula1>
            <xm:f>Materias!$A$46:$A$54</xm:f>
          </x14:formula1>
          <xm:sqref>B13:G27</xm:sqref>
        </x14:dataValidation>
        <x14:dataValidation type="list" allowBlank="1" xr:uid="{00000000-0002-0000-1200-000002000000}">
          <x14:formula1>
            <xm:f>Docentes!$B$2:$B$208</xm:f>
          </x14:formula1>
          <xm:sqref>E30:E38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tabColor rgb="FF92D050"/>
    <pageSetUpPr fitToPage="1"/>
  </sheetPr>
  <dimension ref="A1:G1000"/>
  <sheetViews>
    <sheetView view="pageBreakPreview" topLeftCell="A12" zoomScale="60" zoomScaleNormal="50" workbookViewId="0">
      <selection activeCell="B16" sqref="B16:E16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170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192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474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3" x14ac:dyDescent="0.35">
      <c r="A13" s="18" t="s">
        <v>16</v>
      </c>
      <c r="B13" s="16"/>
      <c r="C13" s="16" t="s">
        <v>539</v>
      </c>
      <c r="D13" s="16" t="s">
        <v>565</v>
      </c>
      <c r="E13" s="16" t="s">
        <v>565</v>
      </c>
      <c r="F13" s="16" t="s">
        <v>565</v>
      </c>
      <c r="G13" s="16"/>
    </row>
    <row r="14" spans="1:7" ht="53" x14ac:dyDescent="0.35">
      <c r="A14" s="18" t="s">
        <v>20</v>
      </c>
      <c r="B14" s="16" t="s">
        <v>539</v>
      </c>
      <c r="C14" s="16" t="s">
        <v>539</v>
      </c>
      <c r="D14" s="16" t="s">
        <v>539</v>
      </c>
      <c r="E14" s="16" t="s">
        <v>565</v>
      </c>
      <c r="F14" s="16" t="s">
        <v>565</v>
      </c>
      <c r="G14" s="16"/>
    </row>
    <row r="15" spans="1:7" ht="53" x14ac:dyDescent="0.35">
      <c r="A15" s="18" t="s">
        <v>21</v>
      </c>
      <c r="B15" s="16" t="s">
        <v>539</v>
      </c>
      <c r="C15" s="16" t="s">
        <v>539</v>
      </c>
      <c r="D15" s="16" t="s">
        <v>539</v>
      </c>
      <c r="E15" s="16" t="s">
        <v>565</v>
      </c>
      <c r="F15" s="16" t="s">
        <v>565</v>
      </c>
      <c r="G15" s="16"/>
    </row>
    <row r="16" spans="1:7" ht="53.5" x14ac:dyDescent="0.35">
      <c r="A16" s="18" t="s">
        <v>24</v>
      </c>
      <c r="B16" s="13" t="s">
        <v>78</v>
      </c>
      <c r="C16" s="13" t="s">
        <v>78</v>
      </c>
      <c r="D16" s="13" t="s">
        <v>78</v>
      </c>
      <c r="E16" s="13" t="s">
        <v>78</v>
      </c>
      <c r="F16" s="16" t="s">
        <v>583</v>
      </c>
      <c r="G16" s="16"/>
    </row>
    <row r="17" spans="1:7" ht="53.5" x14ac:dyDescent="0.35">
      <c r="A17" s="18" t="s">
        <v>26</v>
      </c>
      <c r="B17" s="16" t="s">
        <v>583</v>
      </c>
      <c r="C17" s="16" t="s">
        <v>584</v>
      </c>
      <c r="D17" s="16" t="s">
        <v>583</v>
      </c>
      <c r="E17" s="16" t="s">
        <v>539</v>
      </c>
      <c r="F17" s="16" t="s">
        <v>583</v>
      </c>
      <c r="G17" s="16"/>
    </row>
    <row r="18" spans="1:7" ht="53.5" x14ac:dyDescent="0.35">
      <c r="A18" s="18" t="s">
        <v>29</v>
      </c>
      <c r="B18" s="16" t="s">
        <v>583</v>
      </c>
      <c r="C18" s="16" t="s">
        <v>584</v>
      </c>
      <c r="D18" s="16" t="s">
        <v>583</v>
      </c>
      <c r="E18" s="16" t="s">
        <v>583</v>
      </c>
      <c r="F18" s="16"/>
      <c r="G18" s="16"/>
    </row>
    <row r="19" spans="1:7" ht="53.5" x14ac:dyDescent="0.35">
      <c r="A19" s="18" t="s">
        <v>31</v>
      </c>
      <c r="B19" s="16" t="s">
        <v>586</v>
      </c>
      <c r="C19" s="16"/>
      <c r="D19" s="16" t="s">
        <v>585</v>
      </c>
      <c r="E19" s="16" t="s">
        <v>583</v>
      </c>
      <c r="F19" s="16"/>
      <c r="G19" s="16"/>
    </row>
    <row r="20" spans="1:7" ht="35.5" x14ac:dyDescent="0.35">
      <c r="A20" s="18" t="s">
        <v>32</v>
      </c>
      <c r="B20" s="16" t="s">
        <v>586</v>
      </c>
      <c r="C20" s="16"/>
      <c r="D20" s="16" t="s">
        <v>585</v>
      </c>
      <c r="E20" s="16" t="s">
        <v>585</v>
      </c>
      <c r="F20" s="16"/>
      <c r="G20" s="16"/>
    </row>
    <row r="21" spans="1:7" ht="31" x14ac:dyDescent="0.35">
      <c r="A21" s="18" t="s">
        <v>33</v>
      </c>
      <c r="B21" s="16"/>
      <c r="C21" s="16"/>
      <c r="D21" s="16"/>
      <c r="E21" s="16"/>
      <c r="F21" s="16"/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193</v>
      </c>
      <c r="B30" s="36"/>
      <c r="C30" s="37"/>
      <c r="D30" s="22">
        <f>VLOOKUP(A30, Materias!A2:C180, 3, FALSE)</f>
        <v>8</v>
      </c>
      <c r="E30" s="41" t="s">
        <v>190</v>
      </c>
      <c r="F30" s="36"/>
      <c r="G30" s="37"/>
    </row>
    <row r="31" spans="1:7" ht="14.25" customHeight="1" x14ac:dyDescent="0.35">
      <c r="A31" s="35" t="s">
        <v>194</v>
      </c>
      <c r="B31" s="36"/>
      <c r="C31" s="37"/>
      <c r="D31" s="22">
        <f>VLOOKUP(A31, Materias!A2:C180, 3, FALSE)</f>
        <v>7</v>
      </c>
      <c r="E31" s="54" t="s">
        <v>196</v>
      </c>
      <c r="F31" s="36"/>
      <c r="G31" s="37"/>
    </row>
    <row r="32" spans="1:7" ht="14.25" customHeight="1" x14ac:dyDescent="0.35">
      <c r="A32" s="35" t="s">
        <v>195</v>
      </c>
      <c r="B32" s="36"/>
      <c r="C32" s="37"/>
      <c r="D32" s="22">
        <f>VLOOKUP(A32, Materias!A2:C180, 3, FALSE)</f>
        <v>8</v>
      </c>
      <c r="E32" s="41" t="s">
        <v>158</v>
      </c>
      <c r="F32" s="36"/>
      <c r="G32" s="37"/>
    </row>
    <row r="33" spans="1:7" ht="14.25" customHeight="1" x14ac:dyDescent="0.35">
      <c r="A33" s="35" t="s">
        <v>76</v>
      </c>
      <c r="B33" s="36"/>
      <c r="C33" s="37"/>
      <c r="D33" s="22">
        <f>VLOOKUP(A33, Materias!A2:C180, 3, FALSE)</f>
        <v>2</v>
      </c>
      <c r="E33" s="41" t="s">
        <v>163</v>
      </c>
      <c r="F33" s="36"/>
      <c r="G33" s="37"/>
    </row>
    <row r="34" spans="1:7" ht="14.25" customHeight="1" x14ac:dyDescent="0.35">
      <c r="A34" s="35" t="s">
        <v>78</v>
      </c>
      <c r="B34" s="36"/>
      <c r="C34" s="37"/>
      <c r="D34" s="22">
        <f>VLOOKUP(A34, Materias!A2:C180,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79</v>
      </c>
      <c r="B35" s="36"/>
      <c r="C35" s="37"/>
      <c r="D35" s="22">
        <f>VLOOKUP(A35, Materias!A2:C180, 3, FALSE)</f>
        <v>5</v>
      </c>
      <c r="E35" s="41" t="s">
        <v>166</v>
      </c>
      <c r="F35" s="36"/>
      <c r="G35" s="37"/>
    </row>
    <row r="36" spans="1:7" ht="14.25" customHeight="1" x14ac:dyDescent="0.35">
      <c r="A36" s="38" t="s">
        <v>55</v>
      </c>
      <c r="B36" s="36"/>
      <c r="C36" s="37"/>
      <c r="D36" s="21">
        <f>SUM(D30:D35)</f>
        <v>34</v>
      </c>
      <c r="E36" s="51"/>
      <c r="F36" s="36"/>
      <c r="G36" s="37"/>
    </row>
    <row r="37" spans="1:7" ht="14.25" customHeight="1" x14ac:dyDescent="0.35">
      <c r="A37" s="23"/>
      <c r="B37" s="23"/>
      <c r="C37" s="23"/>
      <c r="D37" s="24"/>
      <c r="E37" s="25"/>
      <c r="F37" s="25"/>
      <c r="G37" s="25"/>
    </row>
    <row r="38" spans="1:7" ht="15" customHeight="1" x14ac:dyDescent="0.35">
      <c r="A38" s="52" t="s">
        <v>180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50" t="s">
        <v>57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8">
    <mergeCell ref="A38:G38"/>
    <mergeCell ref="A39:G39"/>
    <mergeCell ref="A32:C32"/>
    <mergeCell ref="E32:G32"/>
    <mergeCell ref="A33:C33"/>
    <mergeCell ref="E33:G33"/>
    <mergeCell ref="A34:C34"/>
    <mergeCell ref="E34:G34"/>
    <mergeCell ref="E35:G35"/>
    <mergeCell ref="A9:B9"/>
    <mergeCell ref="E30:G30"/>
    <mergeCell ref="E31:G31"/>
    <mergeCell ref="A35:C35"/>
    <mergeCell ref="A36:C36"/>
    <mergeCell ref="E36:G36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7" xr:uid="{00000000-0002-0000-1300-000002000000}">
      <formula1>#REF!</formula1>
    </dataValidation>
  </dataValidations>
  <printOptions horizontalCentered="1"/>
  <pageMargins left="0.25" right="0.25" top="0.75" bottom="0.75" header="0" footer="0"/>
  <pageSetup scale="7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300-000000000000}">
          <x14:formula1>
            <xm:f>Materias!$A$55:$A$60</xm:f>
          </x14:formula1>
          <xm:sqref>A30:A35</xm:sqref>
        </x14:dataValidation>
        <x14:dataValidation type="list" allowBlank="1" xr:uid="{00000000-0002-0000-1300-000001000000}">
          <x14:formula1>
            <xm:f>Docentes!$B$2:$B$208</xm:f>
          </x14:formula1>
          <xm:sqref>E30:E35</xm:sqref>
        </x14:dataValidation>
        <x14:dataValidation type="list" allowBlank="1" xr:uid="{00000000-0002-0000-1300-000003000000}">
          <x14:formula1>
            <xm:f>Materias!$A$55:$A$60</xm:f>
          </x14:formula1>
          <xm:sqref>B13:G27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>
    <tabColor rgb="FF92D050"/>
    <pageSetUpPr fitToPage="1"/>
  </sheetPr>
  <dimension ref="A1:G1000"/>
  <sheetViews>
    <sheetView view="pageBreakPreview" topLeftCell="A9" zoomScale="60" zoomScaleNormal="50" workbookViewId="0">
      <selection activeCell="B16" sqref="B16:E16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170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197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474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5" x14ac:dyDescent="0.35">
      <c r="A13" s="18" t="s">
        <v>16</v>
      </c>
      <c r="B13" s="16"/>
      <c r="C13" s="16" t="s">
        <v>193</v>
      </c>
      <c r="D13" s="16" t="s">
        <v>195</v>
      </c>
      <c r="E13" s="16"/>
      <c r="F13" s="16"/>
      <c r="G13" s="16"/>
    </row>
    <row r="14" spans="1:7" ht="53" x14ac:dyDescent="0.35">
      <c r="A14" s="18" t="s">
        <v>20</v>
      </c>
      <c r="B14" s="16" t="s">
        <v>79</v>
      </c>
      <c r="C14" s="16" t="s">
        <v>193</v>
      </c>
      <c r="D14" s="16" t="s">
        <v>565</v>
      </c>
      <c r="E14" s="16" t="s">
        <v>195</v>
      </c>
      <c r="F14" s="16" t="s">
        <v>76</v>
      </c>
      <c r="G14" s="16"/>
    </row>
    <row r="15" spans="1:7" ht="53" x14ac:dyDescent="0.35">
      <c r="A15" s="18" t="s">
        <v>21</v>
      </c>
      <c r="B15" s="16" t="s">
        <v>79</v>
      </c>
      <c r="C15" s="16" t="s">
        <v>193</v>
      </c>
      <c r="D15" s="16" t="s">
        <v>565</v>
      </c>
      <c r="E15" s="16" t="s">
        <v>195</v>
      </c>
      <c r="F15" s="16" t="s">
        <v>79</v>
      </c>
      <c r="G15" s="16"/>
    </row>
    <row r="16" spans="1:7" ht="35" x14ac:dyDescent="0.35">
      <c r="A16" s="18" t="s">
        <v>24</v>
      </c>
      <c r="B16" s="13" t="s">
        <v>78</v>
      </c>
      <c r="C16" s="13" t="s">
        <v>78</v>
      </c>
      <c r="D16" s="13" t="s">
        <v>78</v>
      </c>
      <c r="E16" s="13" t="s">
        <v>78</v>
      </c>
      <c r="F16" s="16" t="s">
        <v>79</v>
      </c>
      <c r="G16" s="16"/>
    </row>
    <row r="17" spans="1:7" ht="53" x14ac:dyDescent="0.35">
      <c r="A17" s="18" t="s">
        <v>26</v>
      </c>
      <c r="B17" s="16" t="s">
        <v>195</v>
      </c>
      <c r="C17" s="16" t="s">
        <v>195</v>
      </c>
      <c r="D17" s="16"/>
      <c r="E17" s="16" t="s">
        <v>565</v>
      </c>
      <c r="F17" s="16" t="s">
        <v>565</v>
      </c>
      <c r="G17" s="16"/>
    </row>
    <row r="18" spans="1:7" ht="53" x14ac:dyDescent="0.35">
      <c r="A18" s="18" t="s">
        <v>29</v>
      </c>
      <c r="B18" s="16" t="s">
        <v>195</v>
      </c>
      <c r="C18" s="16" t="s">
        <v>195</v>
      </c>
      <c r="D18" s="16"/>
      <c r="E18" s="16" t="s">
        <v>565</v>
      </c>
      <c r="F18" s="16" t="s">
        <v>565</v>
      </c>
      <c r="G18" s="16"/>
    </row>
    <row r="19" spans="1:7" ht="53" x14ac:dyDescent="0.35">
      <c r="A19" s="18" t="s">
        <v>31</v>
      </c>
      <c r="B19" s="16" t="s">
        <v>195</v>
      </c>
      <c r="C19" s="16" t="s">
        <v>76</v>
      </c>
      <c r="D19" s="16"/>
      <c r="E19" s="16" t="s">
        <v>79</v>
      </c>
      <c r="F19" s="16" t="s">
        <v>565</v>
      </c>
      <c r="G19" s="16"/>
    </row>
    <row r="20" spans="1:7" ht="35" x14ac:dyDescent="0.35">
      <c r="A20" s="18" t="s">
        <v>32</v>
      </c>
      <c r="B20" s="16" t="s">
        <v>193</v>
      </c>
      <c r="C20" s="16"/>
      <c r="D20" s="16"/>
      <c r="E20" s="16" t="s">
        <v>193</v>
      </c>
      <c r="F20" s="16" t="s">
        <v>193</v>
      </c>
      <c r="G20" s="16"/>
    </row>
    <row r="21" spans="1:7" ht="35" x14ac:dyDescent="0.35">
      <c r="A21" s="18" t="s">
        <v>33</v>
      </c>
      <c r="B21" s="16"/>
      <c r="C21" s="16"/>
      <c r="D21" s="16"/>
      <c r="E21" s="16" t="s">
        <v>193</v>
      </c>
      <c r="F21" s="16" t="s">
        <v>193</v>
      </c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193</v>
      </c>
      <c r="B30" s="36"/>
      <c r="C30" s="37"/>
      <c r="D30" s="22">
        <f>VLOOKUP(A30, Materias!A2:C180, 3, FALSE)</f>
        <v>8</v>
      </c>
      <c r="E30" s="41" t="s">
        <v>144</v>
      </c>
      <c r="F30" s="36"/>
      <c r="G30" s="37"/>
    </row>
    <row r="31" spans="1:7" ht="14.25" customHeight="1" x14ac:dyDescent="0.35">
      <c r="A31" s="35" t="s">
        <v>194</v>
      </c>
      <c r="B31" s="36"/>
      <c r="C31" s="37"/>
      <c r="D31" s="22">
        <f>VLOOKUP(A31, Materias!A2:C180, 3, FALSE)</f>
        <v>7</v>
      </c>
      <c r="E31" s="54" t="s">
        <v>196</v>
      </c>
      <c r="F31" s="36"/>
      <c r="G31" s="37"/>
    </row>
    <row r="32" spans="1:7" ht="14.25" customHeight="1" x14ac:dyDescent="0.35">
      <c r="A32" s="35" t="s">
        <v>195</v>
      </c>
      <c r="B32" s="36"/>
      <c r="C32" s="37"/>
      <c r="D32" s="22">
        <f>VLOOKUP(A32, Materias!A2:C180, 3, FALSE)</f>
        <v>8</v>
      </c>
      <c r="E32" s="41" t="s">
        <v>190</v>
      </c>
      <c r="F32" s="36"/>
      <c r="G32" s="37"/>
    </row>
    <row r="33" spans="1:7" ht="14.25" customHeight="1" x14ac:dyDescent="0.35">
      <c r="A33" s="35" t="s">
        <v>76</v>
      </c>
      <c r="B33" s="36"/>
      <c r="C33" s="37"/>
      <c r="D33" s="22">
        <f>VLOOKUP(A33, Materias!A2:C180, 3, FALSE)</f>
        <v>2</v>
      </c>
      <c r="E33" s="41" t="s">
        <v>143</v>
      </c>
      <c r="F33" s="36"/>
      <c r="G33" s="37"/>
    </row>
    <row r="34" spans="1:7" ht="14.25" customHeight="1" x14ac:dyDescent="0.35">
      <c r="A34" s="35" t="s">
        <v>78</v>
      </c>
      <c r="B34" s="36"/>
      <c r="C34" s="37"/>
      <c r="D34" s="22">
        <f>VLOOKUP(A34, Materias!A2:C180,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79</v>
      </c>
      <c r="B35" s="36"/>
      <c r="C35" s="37"/>
      <c r="D35" s="22">
        <f>VLOOKUP(A35, Materias!A2:C180, 3, FALSE)</f>
        <v>5</v>
      </c>
      <c r="E35" s="41" t="s">
        <v>163</v>
      </c>
      <c r="F35" s="36"/>
      <c r="G35" s="37"/>
    </row>
    <row r="36" spans="1:7" ht="14.25" customHeight="1" x14ac:dyDescent="0.35">
      <c r="A36" s="38" t="s">
        <v>55</v>
      </c>
      <c r="B36" s="36"/>
      <c r="C36" s="37"/>
      <c r="D36" s="21">
        <f>SUM(D30:D35)</f>
        <v>34</v>
      </c>
      <c r="E36" s="51"/>
      <c r="F36" s="36"/>
      <c r="G36" s="37"/>
    </row>
    <row r="37" spans="1:7" ht="14.25" customHeight="1" x14ac:dyDescent="0.35">
      <c r="A37" s="23"/>
      <c r="B37" s="23"/>
      <c r="C37" s="23"/>
      <c r="D37" s="24"/>
      <c r="E37" s="25"/>
      <c r="F37" s="25"/>
      <c r="G37" s="25"/>
    </row>
    <row r="38" spans="1:7" ht="15" customHeight="1" x14ac:dyDescent="0.35">
      <c r="A38" s="52" t="s">
        <v>180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50" t="s">
        <v>57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8">
    <mergeCell ref="A38:G38"/>
    <mergeCell ref="A39:G39"/>
    <mergeCell ref="A32:C32"/>
    <mergeCell ref="E32:G32"/>
    <mergeCell ref="A33:C33"/>
    <mergeCell ref="E33:G33"/>
    <mergeCell ref="A34:C34"/>
    <mergeCell ref="E34:G34"/>
    <mergeCell ref="E35:G35"/>
    <mergeCell ref="A9:B9"/>
    <mergeCell ref="E30:G30"/>
    <mergeCell ref="E31:G31"/>
    <mergeCell ref="A35:C35"/>
    <mergeCell ref="A36:C36"/>
    <mergeCell ref="E36:G36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7" xr:uid="{00000000-0002-0000-1400-000002000000}">
      <formula1>#REF!</formula1>
    </dataValidation>
  </dataValidations>
  <printOptions horizontalCentered="1"/>
  <pageMargins left="0.25" right="0.25" top="0.75" bottom="0.75" header="0" footer="0"/>
  <pageSetup scale="7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400-000000000000}">
          <x14:formula1>
            <xm:f>Materias!$A$55:$A$60</xm:f>
          </x14:formula1>
          <xm:sqref>A30:A35</xm:sqref>
        </x14:dataValidation>
        <x14:dataValidation type="list" allowBlank="1" xr:uid="{00000000-0002-0000-1400-000001000000}">
          <x14:formula1>
            <xm:f>Docentes!$B$2:$B$208</xm:f>
          </x14:formula1>
          <xm:sqref>E30:E35</xm:sqref>
        </x14:dataValidation>
        <x14:dataValidation type="list" allowBlank="1" xr:uid="{00000000-0002-0000-1400-000003000000}">
          <x14:formula1>
            <xm:f>Materias!$A$55:$A$60</xm:f>
          </x14:formula1>
          <xm:sqref>B13:G27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tabColor rgb="FF92D050"/>
    <pageSetUpPr fitToPage="1"/>
  </sheetPr>
  <dimension ref="A1:G1000"/>
  <sheetViews>
    <sheetView view="pageBreakPreview" topLeftCell="A4" zoomScale="60" zoomScaleNormal="50" workbookViewId="0">
      <selection activeCell="B16" sqref="B16:E16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170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198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477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3.5" x14ac:dyDescent="0.35">
      <c r="A13" s="18" t="s">
        <v>16</v>
      </c>
      <c r="B13" s="16" t="s">
        <v>565</v>
      </c>
      <c r="C13" s="16" t="s">
        <v>565</v>
      </c>
      <c r="D13" s="16" t="s">
        <v>588</v>
      </c>
      <c r="F13" s="16" t="s">
        <v>588</v>
      </c>
      <c r="G13" s="16"/>
    </row>
    <row r="14" spans="1:7" ht="53.5" x14ac:dyDescent="0.35">
      <c r="A14" s="18" t="s">
        <v>20</v>
      </c>
      <c r="B14" s="16" t="s">
        <v>565</v>
      </c>
      <c r="C14" s="16" t="s">
        <v>565</v>
      </c>
      <c r="D14" s="16" t="s">
        <v>588</v>
      </c>
      <c r="E14" s="16" t="s">
        <v>195</v>
      </c>
      <c r="F14" s="16" t="s">
        <v>588</v>
      </c>
      <c r="G14" s="16"/>
    </row>
    <row r="15" spans="1:7" ht="53.5" x14ac:dyDescent="0.35">
      <c r="A15" s="18" t="s">
        <v>21</v>
      </c>
      <c r="B15" s="16" t="s">
        <v>565</v>
      </c>
      <c r="C15" s="16" t="s">
        <v>565</v>
      </c>
      <c r="D15" s="16" t="s">
        <v>588</v>
      </c>
      <c r="E15" s="16" t="s">
        <v>195</v>
      </c>
      <c r="F15" s="16" t="s">
        <v>195</v>
      </c>
      <c r="G15" s="16"/>
    </row>
    <row r="16" spans="1:7" ht="35" x14ac:dyDescent="0.35">
      <c r="A16" s="18" t="s">
        <v>24</v>
      </c>
      <c r="B16" s="13" t="s">
        <v>78</v>
      </c>
      <c r="C16" s="13" t="s">
        <v>78</v>
      </c>
      <c r="D16" s="13" t="s">
        <v>78</v>
      </c>
      <c r="E16" s="13" t="s">
        <v>78</v>
      </c>
      <c r="F16" s="16" t="s">
        <v>195</v>
      </c>
      <c r="G16" s="16"/>
    </row>
    <row r="17" spans="1:7" ht="35.5" x14ac:dyDescent="0.35">
      <c r="A17" s="18" t="s">
        <v>26</v>
      </c>
      <c r="B17" s="16" t="s">
        <v>79</v>
      </c>
      <c r="C17" s="16" t="s">
        <v>79</v>
      </c>
      <c r="D17" s="16" t="s">
        <v>195</v>
      </c>
      <c r="E17" s="16" t="s">
        <v>589</v>
      </c>
      <c r="F17" s="16" t="s">
        <v>195</v>
      </c>
      <c r="G17" s="16"/>
    </row>
    <row r="18" spans="1:7" ht="35.5" x14ac:dyDescent="0.35">
      <c r="A18" s="18" t="s">
        <v>29</v>
      </c>
      <c r="B18" s="16" t="s">
        <v>79</v>
      </c>
      <c r="C18" s="16" t="s">
        <v>79</v>
      </c>
      <c r="D18" s="16" t="s">
        <v>195</v>
      </c>
      <c r="E18" s="16" t="s">
        <v>589</v>
      </c>
      <c r="F18" s="16" t="s">
        <v>195</v>
      </c>
      <c r="G18" s="16"/>
    </row>
    <row r="19" spans="1:7" ht="35.5" x14ac:dyDescent="0.35">
      <c r="A19" s="18" t="s">
        <v>31</v>
      </c>
      <c r="B19" s="16" t="s">
        <v>76</v>
      </c>
      <c r="C19" s="16" t="s">
        <v>76</v>
      </c>
      <c r="D19" s="16" t="s">
        <v>79</v>
      </c>
      <c r="E19" s="16" t="s">
        <v>589</v>
      </c>
      <c r="F19" s="16"/>
      <c r="G19" s="16"/>
    </row>
    <row r="20" spans="1:7" ht="53" x14ac:dyDescent="0.35">
      <c r="A20" s="18" t="s">
        <v>32</v>
      </c>
      <c r="B20" s="16"/>
      <c r="C20" s="16"/>
      <c r="D20" s="16"/>
      <c r="E20" s="16" t="s">
        <v>566</v>
      </c>
      <c r="F20" s="16"/>
      <c r="G20" s="16"/>
    </row>
    <row r="21" spans="1:7" ht="31" x14ac:dyDescent="0.35">
      <c r="A21" s="18" t="s">
        <v>33</v>
      </c>
      <c r="B21" s="16"/>
      <c r="C21" s="16"/>
      <c r="D21" s="16"/>
      <c r="E21" s="16"/>
      <c r="F21" s="16"/>
      <c r="G21" s="16"/>
    </row>
    <row r="22" spans="1:7" ht="31" x14ac:dyDescent="0.35">
      <c r="A22" s="18" t="s">
        <v>34</v>
      </c>
      <c r="B22" s="16"/>
      <c r="C22" s="16"/>
      <c r="D22" s="16"/>
      <c r="E22" s="16"/>
      <c r="F22" s="16"/>
      <c r="G22" s="16"/>
    </row>
    <row r="23" spans="1:7" ht="31" x14ac:dyDescent="0.35">
      <c r="A23" s="18" t="s">
        <v>35</v>
      </c>
      <c r="B23" s="16"/>
      <c r="C23" s="16"/>
      <c r="D23" s="16"/>
      <c r="E23" s="16"/>
      <c r="F23" s="16"/>
      <c r="G23" s="16"/>
    </row>
    <row r="24" spans="1:7" ht="31" x14ac:dyDescent="0.35">
      <c r="A24" s="18" t="s">
        <v>36</v>
      </c>
      <c r="B24" s="16"/>
      <c r="C24" s="16"/>
      <c r="D24" s="16"/>
      <c r="E24" s="16"/>
      <c r="F24" s="16"/>
      <c r="G24" s="16"/>
    </row>
    <row r="25" spans="1:7" ht="31" x14ac:dyDescent="0.35">
      <c r="A25" s="18" t="s">
        <v>37</v>
      </c>
      <c r="B25" s="16"/>
      <c r="C25" s="16"/>
      <c r="D25" s="16"/>
      <c r="E25" s="16"/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193</v>
      </c>
      <c r="B30" s="36"/>
      <c r="C30" s="37"/>
      <c r="D30" s="22">
        <f>VLOOKUP(A30, Materias!A2:C180, 3, FALSE)</f>
        <v>8</v>
      </c>
      <c r="E30" s="41" t="s">
        <v>144</v>
      </c>
      <c r="F30" s="36"/>
      <c r="G30" s="37"/>
    </row>
    <row r="31" spans="1:7" ht="14.25" customHeight="1" x14ac:dyDescent="0.35">
      <c r="A31" s="35" t="s">
        <v>194</v>
      </c>
      <c r="B31" s="36"/>
      <c r="C31" s="37"/>
      <c r="D31" s="22">
        <f>VLOOKUP(A31, Materias!A2:C180, 3, FALSE)</f>
        <v>7</v>
      </c>
      <c r="E31" s="54" t="s">
        <v>196</v>
      </c>
      <c r="F31" s="36"/>
      <c r="G31" s="37"/>
    </row>
    <row r="32" spans="1:7" ht="14.25" customHeight="1" x14ac:dyDescent="0.35">
      <c r="A32" s="35" t="s">
        <v>195</v>
      </c>
      <c r="B32" s="36"/>
      <c r="C32" s="37"/>
      <c r="D32" s="22">
        <f>VLOOKUP(A32, Materias!A2:C180, 3, FALSE)</f>
        <v>8</v>
      </c>
      <c r="E32" s="41" t="s">
        <v>199</v>
      </c>
      <c r="F32" s="36"/>
      <c r="G32" s="37"/>
    </row>
    <row r="33" spans="1:7" ht="14.25" customHeight="1" x14ac:dyDescent="0.35">
      <c r="A33" s="35" t="s">
        <v>76</v>
      </c>
      <c r="B33" s="36"/>
      <c r="C33" s="37"/>
      <c r="D33" s="22">
        <f>VLOOKUP(A33, Materias!A2:C180, 3, FALSE)</f>
        <v>2</v>
      </c>
      <c r="E33" s="41" t="s">
        <v>153</v>
      </c>
      <c r="F33" s="36"/>
      <c r="G33" s="37"/>
    </row>
    <row r="34" spans="1:7" ht="14.25" customHeight="1" x14ac:dyDescent="0.35">
      <c r="A34" s="35" t="s">
        <v>78</v>
      </c>
      <c r="B34" s="36"/>
      <c r="C34" s="37"/>
      <c r="D34" s="22">
        <f>VLOOKUP(A34, Materias!A2:C180,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79</v>
      </c>
      <c r="B35" s="36"/>
      <c r="C35" s="37"/>
      <c r="D35" s="22">
        <f>VLOOKUP(A35, Materias!A2:C180, 3, FALSE)</f>
        <v>5</v>
      </c>
      <c r="E35" s="41" t="s">
        <v>151</v>
      </c>
      <c r="F35" s="36"/>
      <c r="G35" s="37"/>
    </row>
    <row r="36" spans="1:7" ht="14.25" customHeight="1" x14ac:dyDescent="0.35">
      <c r="A36" s="38" t="s">
        <v>55</v>
      </c>
      <c r="B36" s="36"/>
      <c r="C36" s="37"/>
      <c r="D36" s="21">
        <f>SUM(D30:D35)</f>
        <v>34</v>
      </c>
      <c r="E36" s="51"/>
      <c r="F36" s="36"/>
      <c r="G36" s="37"/>
    </row>
    <row r="37" spans="1:7" ht="14.25" customHeight="1" x14ac:dyDescent="0.35">
      <c r="A37" s="23"/>
      <c r="B37" s="23"/>
      <c r="C37" s="23"/>
      <c r="D37" s="24"/>
      <c r="E37" s="25"/>
      <c r="F37" s="25"/>
      <c r="G37" s="25"/>
    </row>
    <row r="38" spans="1:7" ht="15" customHeight="1" x14ac:dyDescent="0.35">
      <c r="A38" s="52" t="s">
        <v>180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50" t="s">
        <v>57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8">
    <mergeCell ref="A32:C32"/>
    <mergeCell ref="E32:G32"/>
    <mergeCell ref="A33:C33"/>
    <mergeCell ref="E33:G33"/>
    <mergeCell ref="A34:C34"/>
    <mergeCell ref="E34:G34"/>
    <mergeCell ref="A35:C35"/>
    <mergeCell ref="A36:C36"/>
    <mergeCell ref="E36:G36"/>
    <mergeCell ref="A38:G38"/>
    <mergeCell ref="A39:G39"/>
    <mergeCell ref="E35:G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7" xr:uid="{00000000-0002-0000-1500-000002000000}">
      <formula1>#REF!</formula1>
    </dataValidation>
  </dataValidations>
  <printOptions horizontalCentered="1"/>
  <pageMargins left="0.25" right="0.25" top="0.75" bottom="0.75" header="0" footer="0"/>
  <pageSetup scale="7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500-000000000000}">
          <x14:formula1>
            <xm:f>Materias!$A$55:$A$60</xm:f>
          </x14:formula1>
          <xm:sqref>A30:A35</xm:sqref>
        </x14:dataValidation>
        <x14:dataValidation type="list" allowBlank="1" xr:uid="{00000000-0002-0000-1500-000001000000}">
          <x14:formula1>
            <xm:f>Docentes!$B$2:$B$208</xm:f>
          </x14:formula1>
          <xm:sqref>E30:E35</xm:sqref>
        </x14:dataValidation>
        <x14:dataValidation type="list" allowBlank="1" xr:uid="{00000000-0002-0000-1500-000003000000}">
          <x14:formula1>
            <xm:f>Materias!$A$55:$A$60</xm:f>
          </x14:formula1>
          <xm:sqref>B13:D13 F13:G13 B14:G27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tabColor rgb="FFDE20DE"/>
    <pageSetUpPr fitToPage="1"/>
  </sheetPr>
  <dimension ref="A1:G1000"/>
  <sheetViews>
    <sheetView view="pageBreakPreview" topLeftCell="A21" zoomScale="60" zoomScaleNormal="50" workbookViewId="0">
      <selection activeCell="D25" sqref="D25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170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200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464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35.5" x14ac:dyDescent="0.35">
      <c r="A18" s="18" t="s">
        <v>29</v>
      </c>
      <c r="B18" s="16"/>
      <c r="C18" s="16"/>
      <c r="D18" s="16" t="s">
        <v>602</v>
      </c>
      <c r="E18" s="16"/>
      <c r="F18" s="16"/>
      <c r="G18" s="16"/>
    </row>
    <row r="19" spans="1:7" ht="35.5" x14ac:dyDescent="0.35">
      <c r="A19" s="18" t="s">
        <v>31</v>
      </c>
      <c r="B19" s="16" t="s">
        <v>600</v>
      </c>
      <c r="C19" s="16" t="s">
        <v>594</v>
      </c>
      <c r="D19" s="16" t="s">
        <v>602</v>
      </c>
      <c r="E19" s="16" t="s">
        <v>594</v>
      </c>
      <c r="F19" s="16" t="s">
        <v>594</v>
      </c>
      <c r="G19" s="16"/>
    </row>
    <row r="20" spans="1:7" ht="53" x14ac:dyDescent="0.35">
      <c r="A20" s="18" t="s">
        <v>32</v>
      </c>
      <c r="B20" s="16" t="s">
        <v>599</v>
      </c>
      <c r="C20" s="16" t="s">
        <v>594</v>
      </c>
      <c r="D20" s="16" t="s">
        <v>599</v>
      </c>
      <c r="E20" s="16" t="s">
        <v>594</v>
      </c>
      <c r="F20" s="16" t="s">
        <v>594</v>
      </c>
      <c r="G20" s="16"/>
    </row>
    <row r="21" spans="1:7" ht="53" x14ac:dyDescent="0.35">
      <c r="A21" s="18" t="s">
        <v>33</v>
      </c>
      <c r="B21" s="16" t="s">
        <v>599</v>
      </c>
      <c r="C21" s="16" t="s">
        <v>594</v>
      </c>
      <c r="D21" s="16" t="s">
        <v>599</v>
      </c>
      <c r="E21" s="16" t="s">
        <v>594</v>
      </c>
      <c r="F21" s="16" t="s">
        <v>602</v>
      </c>
      <c r="G21" s="16"/>
    </row>
    <row r="22" spans="1:7" ht="35.5" x14ac:dyDescent="0.35">
      <c r="A22" s="18" t="s">
        <v>34</v>
      </c>
      <c r="B22" s="13" t="s">
        <v>78</v>
      </c>
      <c r="C22" s="13" t="s">
        <v>78</v>
      </c>
      <c r="D22" s="13" t="s">
        <v>78</v>
      </c>
      <c r="E22" s="13" t="s">
        <v>78</v>
      </c>
      <c r="F22" s="16" t="s">
        <v>602</v>
      </c>
      <c r="G22" s="16"/>
    </row>
    <row r="23" spans="1:7" ht="53" x14ac:dyDescent="0.35">
      <c r="A23" s="18" t="s">
        <v>35</v>
      </c>
      <c r="B23" s="16" t="s">
        <v>601</v>
      </c>
      <c r="C23" s="16" t="s">
        <v>599</v>
      </c>
      <c r="D23" s="16" t="s">
        <v>600</v>
      </c>
      <c r="E23" s="16" t="s">
        <v>602</v>
      </c>
      <c r="F23" s="16" t="s">
        <v>600</v>
      </c>
      <c r="G23" s="16"/>
    </row>
    <row r="24" spans="1:7" ht="53" x14ac:dyDescent="0.35">
      <c r="A24" s="18" t="s">
        <v>36</v>
      </c>
      <c r="B24" s="16" t="s">
        <v>601</v>
      </c>
      <c r="C24" s="16" t="s">
        <v>599</v>
      </c>
      <c r="D24" s="16" t="s">
        <v>600</v>
      </c>
      <c r="E24" s="16" t="s">
        <v>600</v>
      </c>
      <c r="F24" s="16" t="s">
        <v>600</v>
      </c>
      <c r="G24" s="16"/>
    </row>
    <row r="25" spans="1:7" ht="53" x14ac:dyDescent="0.35">
      <c r="A25" s="18" t="s">
        <v>37</v>
      </c>
      <c r="B25" s="16"/>
      <c r="C25" s="16" t="s">
        <v>599</v>
      </c>
      <c r="D25" s="16"/>
      <c r="E25" s="16" t="s">
        <v>600</v>
      </c>
      <c r="F25" s="16"/>
      <c r="G25" s="16"/>
    </row>
    <row r="26" spans="1:7" ht="35.5" x14ac:dyDescent="0.35">
      <c r="A26" s="18" t="s">
        <v>38</v>
      </c>
      <c r="B26" s="16"/>
      <c r="C26" s="16"/>
      <c r="D26" s="16"/>
      <c r="E26" s="16" t="s">
        <v>600</v>
      </c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193</v>
      </c>
      <c r="B30" s="36"/>
      <c r="C30" s="37"/>
      <c r="D30" s="22">
        <f>VLOOKUP(A30, Materias!A2:C180, 3, FALSE)</f>
        <v>8</v>
      </c>
      <c r="E30" s="41" t="s">
        <v>199</v>
      </c>
      <c r="F30" s="36"/>
      <c r="G30" s="37"/>
    </row>
    <row r="31" spans="1:7" ht="14.25" customHeight="1" x14ac:dyDescent="0.35">
      <c r="A31" s="35" t="s">
        <v>194</v>
      </c>
      <c r="B31" s="36"/>
      <c r="C31" s="37"/>
      <c r="D31" s="22">
        <f>VLOOKUP(A31, Materias!A2:C180, 3, FALSE)</f>
        <v>7</v>
      </c>
      <c r="E31" s="41" t="s">
        <v>151</v>
      </c>
      <c r="F31" s="36"/>
      <c r="G31" s="37"/>
    </row>
    <row r="32" spans="1:7" ht="14.25" customHeight="1" x14ac:dyDescent="0.35">
      <c r="A32" s="35" t="s">
        <v>195</v>
      </c>
      <c r="B32" s="36"/>
      <c r="C32" s="37"/>
      <c r="D32" s="22">
        <f>VLOOKUP(A32, Materias!A2:C180, 3, FALSE)</f>
        <v>8</v>
      </c>
      <c r="E32" s="41" t="s">
        <v>158</v>
      </c>
      <c r="F32" s="36"/>
      <c r="G32" s="37"/>
    </row>
    <row r="33" spans="1:7" ht="14.25" customHeight="1" x14ac:dyDescent="0.35">
      <c r="A33" s="35" t="s">
        <v>76</v>
      </c>
      <c r="B33" s="36"/>
      <c r="C33" s="37"/>
      <c r="D33" s="22">
        <f>VLOOKUP(A33, Materias!A2:C180, 3, FALSE)</f>
        <v>2</v>
      </c>
      <c r="E33" s="41" t="s">
        <v>161</v>
      </c>
      <c r="F33" s="36"/>
      <c r="G33" s="37"/>
    </row>
    <row r="34" spans="1:7" ht="14.25" customHeight="1" x14ac:dyDescent="0.35">
      <c r="A34" s="35" t="s">
        <v>78</v>
      </c>
      <c r="B34" s="36"/>
      <c r="C34" s="37"/>
      <c r="D34" s="22">
        <f>VLOOKUP(A34, Materias!A2:C180,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79</v>
      </c>
      <c r="B35" s="36"/>
      <c r="C35" s="37"/>
      <c r="D35" s="22">
        <f>VLOOKUP(A35, Materias!A2:C180, 3, FALSE)</f>
        <v>5</v>
      </c>
      <c r="E35" s="41" t="s">
        <v>161</v>
      </c>
      <c r="F35" s="36"/>
      <c r="G35" s="37"/>
    </row>
    <row r="36" spans="1:7" ht="14.25" customHeight="1" x14ac:dyDescent="0.35">
      <c r="A36" s="38" t="s">
        <v>55</v>
      </c>
      <c r="B36" s="36"/>
      <c r="C36" s="37"/>
      <c r="D36" s="21">
        <f>SUM(D30:D35)</f>
        <v>34</v>
      </c>
      <c r="E36" s="51"/>
      <c r="F36" s="36"/>
      <c r="G36" s="37"/>
    </row>
    <row r="37" spans="1:7" ht="14.25" customHeight="1" x14ac:dyDescent="0.35">
      <c r="A37" s="23"/>
      <c r="B37" s="23"/>
      <c r="C37" s="23"/>
      <c r="D37" s="24"/>
      <c r="E37" s="25"/>
      <c r="F37" s="25"/>
      <c r="G37" s="25"/>
    </row>
    <row r="38" spans="1:7" ht="15" customHeight="1" x14ac:dyDescent="0.35">
      <c r="A38" s="52" t="s">
        <v>180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50" t="s">
        <v>57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8">
    <mergeCell ref="A32:C32"/>
    <mergeCell ref="E32:G32"/>
    <mergeCell ref="A33:C33"/>
    <mergeCell ref="E33:G33"/>
    <mergeCell ref="A34:C34"/>
    <mergeCell ref="E34:G34"/>
    <mergeCell ref="A35:C35"/>
    <mergeCell ref="A36:C36"/>
    <mergeCell ref="E36:G36"/>
    <mergeCell ref="A38:G38"/>
    <mergeCell ref="A39:G39"/>
    <mergeCell ref="E35:G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7" xr:uid="{00000000-0002-0000-1600-000002000000}">
      <formula1>#REF!</formula1>
    </dataValidation>
  </dataValidations>
  <printOptions horizontalCentered="1"/>
  <pageMargins left="0.25" right="0.25" top="0.75" bottom="0.75" header="0" footer="0"/>
  <pageSetup scale="7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600-000000000000}">
          <x14:formula1>
            <xm:f>Materias!$A$55:$A$60</xm:f>
          </x14:formula1>
          <xm:sqref>A30:A35</xm:sqref>
        </x14:dataValidation>
        <x14:dataValidation type="list" allowBlank="1" xr:uid="{00000000-0002-0000-1600-000001000000}">
          <x14:formula1>
            <xm:f>Docentes!$B$2:$B$208</xm:f>
          </x14:formula1>
          <xm:sqref>E30:E35</xm:sqref>
        </x14:dataValidation>
        <x14:dataValidation type="list" allowBlank="1" xr:uid="{00000000-0002-0000-1600-000003000000}">
          <x14:formula1>
            <xm:f>Materias!$A$55:$A$60</xm:f>
          </x14:formula1>
          <xm:sqref>B13:G27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>
    <tabColor rgb="FFDE20DE"/>
    <pageSetUpPr fitToPage="1"/>
  </sheetPr>
  <dimension ref="A1:G1001"/>
  <sheetViews>
    <sheetView view="pageBreakPreview" topLeftCell="A22" zoomScale="60" zoomScaleNormal="50" workbookViewId="0">
      <selection activeCell="G22" sqref="G22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170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201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465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35.5" x14ac:dyDescent="0.35">
      <c r="A18" s="18" t="s">
        <v>29</v>
      </c>
      <c r="B18" s="16"/>
      <c r="C18" s="16"/>
      <c r="D18" s="28" t="s">
        <v>661</v>
      </c>
      <c r="E18" s="16"/>
      <c r="F18" s="16"/>
      <c r="G18" s="16"/>
    </row>
    <row r="19" spans="1:7" ht="35.5" x14ac:dyDescent="0.35">
      <c r="A19" s="18" t="s">
        <v>31</v>
      </c>
      <c r="B19" s="16" t="s">
        <v>603</v>
      </c>
      <c r="C19" s="16" t="s">
        <v>585</v>
      </c>
      <c r="D19" s="16" t="s">
        <v>604</v>
      </c>
      <c r="E19" s="16" t="s">
        <v>539</v>
      </c>
      <c r="F19" s="16" t="s">
        <v>586</v>
      </c>
      <c r="G19" s="16"/>
    </row>
    <row r="20" spans="1:7" ht="53" x14ac:dyDescent="0.35">
      <c r="A20" s="18" t="s">
        <v>32</v>
      </c>
      <c r="B20" s="16" t="s">
        <v>603</v>
      </c>
      <c r="C20" s="16" t="s">
        <v>566</v>
      </c>
      <c r="D20" s="16" t="s">
        <v>604</v>
      </c>
      <c r="E20" s="16" t="s">
        <v>586</v>
      </c>
      <c r="F20" s="16" t="s">
        <v>586</v>
      </c>
      <c r="G20" s="16"/>
    </row>
    <row r="21" spans="1:7" ht="53" x14ac:dyDescent="0.35">
      <c r="A21" s="18" t="s">
        <v>33</v>
      </c>
      <c r="B21" s="16" t="s">
        <v>603</v>
      </c>
      <c r="C21" s="16" t="s">
        <v>566</v>
      </c>
      <c r="D21" s="16" t="s">
        <v>604</v>
      </c>
      <c r="E21" s="16" t="s">
        <v>586</v>
      </c>
      <c r="F21" s="16"/>
      <c r="G21" s="16"/>
    </row>
    <row r="22" spans="1:7" ht="35.5" x14ac:dyDescent="0.35">
      <c r="A22" s="18" t="s">
        <v>34</v>
      </c>
      <c r="B22" s="13" t="s">
        <v>78</v>
      </c>
      <c r="C22" s="13" t="s">
        <v>78</v>
      </c>
      <c r="D22" s="13" t="s">
        <v>78</v>
      </c>
      <c r="E22" s="13" t="s">
        <v>78</v>
      </c>
      <c r="F22" s="16" t="s">
        <v>539</v>
      </c>
      <c r="G22" s="16"/>
    </row>
    <row r="23" spans="1:7" ht="53" x14ac:dyDescent="0.35">
      <c r="A23" s="18" t="s">
        <v>35</v>
      </c>
      <c r="B23" s="16" t="s">
        <v>566</v>
      </c>
      <c r="C23" s="16" t="s">
        <v>604</v>
      </c>
      <c r="D23" s="16" t="s">
        <v>539</v>
      </c>
      <c r="E23" s="16" t="s">
        <v>566</v>
      </c>
      <c r="F23" s="16" t="s">
        <v>539</v>
      </c>
      <c r="G23" s="16"/>
    </row>
    <row r="24" spans="1:7" ht="53" x14ac:dyDescent="0.35">
      <c r="A24" s="18" t="s">
        <v>36</v>
      </c>
      <c r="B24" s="16" t="s">
        <v>566</v>
      </c>
      <c r="C24" s="16" t="s">
        <v>604</v>
      </c>
      <c r="D24" s="16" t="s">
        <v>539</v>
      </c>
      <c r="E24" s="16" t="s">
        <v>566</v>
      </c>
      <c r="F24" s="16" t="s">
        <v>539</v>
      </c>
      <c r="G24" s="16"/>
    </row>
    <row r="25" spans="1:7" ht="53" x14ac:dyDescent="0.35">
      <c r="A25" s="18" t="s">
        <v>37</v>
      </c>
      <c r="B25" s="16" t="s">
        <v>601</v>
      </c>
      <c r="C25" s="28" t="s">
        <v>661</v>
      </c>
      <c r="D25" s="16" t="s">
        <v>539</v>
      </c>
      <c r="E25" s="16" t="s">
        <v>566</v>
      </c>
      <c r="F25" s="16" t="s">
        <v>539</v>
      </c>
      <c r="G25" s="16"/>
    </row>
    <row r="26" spans="1:7" ht="35.5" x14ac:dyDescent="0.35">
      <c r="A26" s="18" t="s">
        <v>38</v>
      </c>
      <c r="B26" s="16" t="s">
        <v>601</v>
      </c>
      <c r="C26" s="28" t="s">
        <v>661</v>
      </c>
      <c r="D26" s="16"/>
      <c r="E26" s="28" t="s">
        <v>661</v>
      </c>
      <c r="F26" s="16"/>
      <c r="G26" s="16"/>
    </row>
    <row r="27" spans="1:7" ht="35.5" x14ac:dyDescent="0.35">
      <c r="A27" s="19" t="s">
        <v>39</v>
      </c>
      <c r="B27" s="16"/>
      <c r="C27" s="16"/>
      <c r="D27" s="16"/>
      <c r="E27" s="28" t="s">
        <v>661</v>
      </c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193</v>
      </c>
      <c r="B30" s="36"/>
      <c r="C30" s="37"/>
      <c r="D30" s="22">
        <f>VLOOKUP(A30, Materias!A2:C180, 3, FALSE)</f>
        <v>8</v>
      </c>
      <c r="E30" s="41" t="s">
        <v>202</v>
      </c>
      <c r="F30" s="36"/>
      <c r="G30" s="37"/>
    </row>
    <row r="31" spans="1:7" ht="14.25" customHeight="1" x14ac:dyDescent="0.35">
      <c r="A31" s="35" t="s">
        <v>194</v>
      </c>
      <c r="B31" s="36"/>
      <c r="C31" s="37"/>
      <c r="D31" s="22">
        <f>VLOOKUP(A31, Materias!A2:C180, 3, FALSE)</f>
        <v>7</v>
      </c>
      <c r="E31" s="41" t="s">
        <v>151</v>
      </c>
      <c r="F31" s="36"/>
      <c r="G31" s="37"/>
    </row>
    <row r="32" spans="1:7" ht="14.25" customHeight="1" x14ac:dyDescent="0.35">
      <c r="A32" s="35" t="s">
        <v>195</v>
      </c>
      <c r="B32" s="36"/>
      <c r="C32" s="37"/>
      <c r="D32" s="22">
        <f>VLOOKUP(A32, Materias!A2:C180, 3, FALSE)</f>
        <v>8</v>
      </c>
      <c r="E32" s="41" t="s">
        <v>199</v>
      </c>
      <c r="F32" s="36"/>
      <c r="G32" s="37"/>
    </row>
    <row r="33" spans="1:7" ht="14.25" customHeight="1" x14ac:dyDescent="0.35">
      <c r="A33" s="35" t="s">
        <v>76</v>
      </c>
      <c r="B33" s="36"/>
      <c r="C33" s="37"/>
      <c r="D33" s="22">
        <f>VLOOKUP(A33, Materias!A2:C180, 3, FALSE)</f>
        <v>2</v>
      </c>
      <c r="E33" s="41" t="s">
        <v>157</v>
      </c>
      <c r="F33" s="36"/>
      <c r="G33" s="37"/>
    </row>
    <row r="34" spans="1:7" ht="14.25" customHeight="1" x14ac:dyDescent="0.35">
      <c r="A34" s="35" t="s">
        <v>78</v>
      </c>
      <c r="B34" s="36"/>
      <c r="C34" s="37"/>
      <c r="D34" s="22">
        <f>VLOOKUP(A34, Materias!A2:C180,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79</v>
      </c>
      <c r="B35" s="36"/>
      <c r="C35" s="37"/>
      <c r="D35" s="22">
        <f>VLOOKUP(A35, Materias!A1:C179, 3, FALSE)</f>
        <v>5</v>
      </c>
      <c r="E35" s="41" t="s">
        <v>161</v>
      </c>
      <c r="F35" s="36"/>
      <c r="G35" s="37"/>
    </row>
    <row r="36" spans="1:7" ht="14.25" customHeight="1" x14ac:dyDescent="0.35">
      <c r="A36" s="35" t="s">
        <v>662</v>
      </c>
      <c r="B36" s="36"/>
      <c r="C36" s="37"/>
      <c r="D36" s="22">
        <v>5</v>
      </c>
      <c r="E36" s="41" t="s">
        <v>190</v>
      </c>
      <c r="F36" s="36"/>
      <c r="G36" s="37"/>
    </row>
    <row r="37" spans="1:7" ht="14.25" customHeight="1" x14ac:dyDescent="0.35">
      <c r="A37" s="38" t="s">
        <v>55</v>
      </c>
      <c r="B37" s="36"/>
      <c r="C37" s="37"/>
      <c r="D37" s="21">
        <f>SUM(D30:D35)</f>
        <v>34</v>
      </c>
      <c r="E37" s="51"/>
      <c r="F37" s="36"/>
      <c r="G37" s="37"/>
    </row>
    <row r="38" spans="1:7" ht="14.25" customHeight="1" x14ac:dyDescent="0.35">
      <c r="A38" s="23"/>
      <c r="B38" s="23"/>
      <c r="C38" s="23"/>
      <c r="D38" s="24"/>
      <c r="E38" s="25"/>
      <c r="F38" s="25"/>
      <c r="G38" s="25"/>
    </row>
    <row r="39" spans="1:7" ht="15" customHeight="1" x14ac:dyDescent="0.35">
      <c r="A39" s="52" t="s">
        <v>180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50" t="s">
        <v>57</v>
      </c>
      <c r="B40" s="30"/>
      <c r="C40" s="30"/>
      <c r="D40" s="30"/>
      <c r="E40" s="30"/>
      <c r="F40" s="30"/>
      <c r="G40" s="30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>
      <c r="A42" s="11"/>
      <c r="B42" s="11"/>
      <c r="C42" s="11"/>
      <c r="D42" s="11"/>
      <c r="E42" s="11"/>
      <c r="F42" s="8"/>
      <c r="G42" s="8"/>
    </row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mergeCells count="30">
    <mergeCell ref="A35:C35"/>
    <mergeCell ref="E35:G35"/>
    <mergeCell ref="A32:C32"/>
    <mergeCell ref="E32:G32"/>
    <mergeCell ref="A33:C33"/>
    <mergeCell ref="E33:G33"/>
    <mergeCell ref="A34:C34"/>
    <mergeCell ref="E34:G34"/>
    <mergeCell ref="A36:C36"/>
    <mergeCell ref="A37:C37"/>
    <mergeCell ref="E37:G37"/>
    <mergeCell ref="A39:G39"/>
    <mergeCell ref="A40:G40"/>
    <mergeCell ref="E36:G36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8" xr:uid="{00000000-0002-0000-1700-000002000000}">
      <formula1>#REF!</formula1>
    </dataValidation>
  </dataValidations>
  <printOptions horizontalCentered="1"/>
  <pageMargins left="0.25" right="0.25" top="0.75" bottom="0.75" header="0" footer="0"/>
  <pageSetup scale="7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700-000000000000}">
          <x14:formula1>
            <xm:f>Materias!$A$55:$A$60</xm:f>
          </x14:formula1>
          <xm:sqref>A30:A35</xm:sqref>
        </x14:dataValidation>
        <x14:dataValidation type="list" allowBlank="1" xr:uid="{00000000-0002-0000-1700-000001000000}">
          <x14:formula1>
            <xm:f>Docentes!$B$2:$B$208</xm:f>
          </x14:formula1>
          <xm:sqref>E30:E36</xm:sqref>
        </x14:dataValidation>
        <x14:dataValidation type="list" allowBlank="1" xr:uid="{00000000-0002-0000-1700-000003000000}">
          <x14:formula1>
            <xm:f>Materias!$A$55:$A$60</xm:f>
          </x14:formula1>
          <xm:sqref>B13:G27 A36:C36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tabColor rgb="FFDE20DE"/>
    <pageSetUpPr fitToPage="1"/>
  </sheetPr>
  <dimension ref="A1:G1000"/>
  <sheetViews>
    <sheetView view="pageBreakPreview" topLeftCell="A14" zoomScale="60" zoomScaleNormal="50" workbookViewId="0">
      <selection activeCell="D19" sqref="D19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203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204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475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35.5" x14ac:dyDescent="0.35">
      <c r="A18" s="18" t="s">
        <v>29</v>
      </c>
      <c r="B18" s="16"/>
      <c r="C18" s="16"/>
      <c r="D18" s="16" t="s">
        <v>609</v>
      </c>
      <c r="E18" s="16"/>
      <c r="F18" s="16"/>
      <c r="G18" s="16"/>
    </row>
    <row r="19" spans="1:7" ht="31" x14ac:dyDescent="0.35">
      <c r="A19" s="18" t="s">
        <v>31</v>
      </c>
      <c r="B19" s="16"/>
      <c r="C19" s="16"/>
      <c r="D19" s="16"/>
      <c r="E19" s="16"/>
      <c r="F19" s="16"/>
      <c r="G19" s="16"/>
    </row>
    <row r="20" spans="1:7" ht="35.5" x14ac:dyDescent="0.35">
      <c r="A20" s="18" t="s">
        <v>32</v>
      </c>
      <c r="B20" s="16" t="s">
        <v>610</v>
      </c>
      <c r="C20" s="16" t="s">
        <v>656</v>
      </c>
      <c r="D20" s="16" t="s">
        <v>610</v>
      </c>
      <c r="E20" s="16" t="s">
        <v>609</v>
      </c>
      <c r="F20" s="16"/>
      <c r="G20" s="16"/>
    </row>
    <row r="21" spans="1:7" ht="35.5" x14ac:dyDescent="0.35">
      <c r="A21" s="18" t="s">
        <v>33</v>
      </c>
      <c r="B21" s="16" t="s">
        <v>610</v>
      </c>
      <c r="C21" s="16" t="s">
        <v>656</v>
      </c>
      <c r="D21" s="16" t="s">
        <v>610</v>
      </c>
      <c r="E21" s="16" t="s">
        <v>609</v>
      </c>
      <c r="F21" s="16"/>
      <c r="G21" s="16"/>
    </row>
    <row r="22" spans="1:7" ht="31" x14ac:dyDescent="0.35">
      <c r="A22" s="18" t="s">
        <v>34</v>
      </c>
      <c r="B22" s="13" t="s">
        <v>90</v>
      </c>
      <c r="C22" s="13" t="s">
        <v>90</v>
      </c>
      <c r="D22" s="13" t="s">
        <v>90</v>
      </c>
      <c r="E22" s="13" t="s">
        <v>90</v>
      </c>
      <c r="F22" s="16"/>
      <c r="G22" s="16"/>
    </row>
    <row r="23" spans="1:7" ht="53" x14ac:dyDescent="0.35">
      <c r="A23" s="18" t="s">
        <v>35</v>
      </c>
      <c r="B23" s="16" t="s">
        <v>605</v>
      </c>
      <c r="C23" s="16" t="s">
        <v>606</v>
      </c>
      <c r="D23" s="16" t="s">
        <v>608</v>
      </c>
      <c r="E23" s="16" t="s">
        <v>605</v>
      </c>
      <c r="F23" s="16"/>
      <c r="G23" s="16"/>
    </row>
    <row r="24" spans="1:7" ht="53" x14ac:dyDescent="0.35">
      <c r="A24" s="18" t="s">
        <v>36</v>
      </c>
      <c r="B24" s="16" t="s">
        <v>605</v>
      </c>
      <c r="C24" s="16" t="s">
        <v>606</v>
      </c>
      <c r="D24" s="16" t="s">
        <v>608</v>
      </c>
      <c r="E24" s="16" t="s">
        <v>607</v>
      </c>
      <c r="F24" s="16"/>
      <c r="G24" s="16"/>
    </row>
    <row r="25" spans="1:7" ht="53" x14ac:dyDescent="0.35">
      <c r="A25" s="18" t="s">
        <v>37</v>
      </c>
      <c r="B25" s="16"/>
      <c r="C25" s="16"/>
      <c r="D25" s="16" t="s">
        <v>606</v>
      </c>
      <c r="E25" s="16" t="s">
        <v>607</v>
      </c>
      <c r="F25" s="16"/>
      <c r="G25" s="16"/>
    </row>
    <row r="26" spans="1:7" ht="53" x14ac:dyDescent="0.35">
      <c r="A26" s="18" t="s">
        <v>38</v>
      </c>
      <c r="B26" s="16"/>
      <c r="C26" s="16"/>
      <c r="D26" s="16" t="s">
        <v>606</v>
      </c>
      <c r="E26" s="16" t="s">
        <v>607</v>
      </c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208</v>
      </c>
      <c r="B30" s="36"/>
      <c r="C30" s="37"/>
      <c r="D30" s="22">
        <f>VLOOKUP(A30, Materias!A2:C180, 3, FALSE)</f>
        <v>3</v>
      </c>
      <c r="E30" s="41" t="s">
        <v>156</v>
      </c>
      <c r="F30" s="36"/>
      <c r="G30" s="37"/>
    </row>
    <row r="31" spans="1:7" ht="14.25" customHeight="1" x14ac:dyDescent="0.35">
      <c r="A31" s="35" t="s">
        <v>209</v>
      </c>
      <c r="B31" s="36"/>
      <c r="C31" s="37"/>
      <c r="D31" s="22">
        <f>VLOOKUP(A31, Materias!A2:C180, 3, FALSE)</f>
        <v>4</v>
      </c>
      <c r="E31" s="41" t="s">
        <v>168</v>
      </c>
      <c r="F31" s="36"/>
      <c r="G31" s="37"/>
    </row>
    <row r="32" spans="1:7" ht="14.25" customHeight="1" x14ac:dyDescent="0.35">
      <c r="A32" s="35" t="s">
        <v>205</v>
      </c>
      <c r="B32" s="36"/>
      <c r="C32" s="37"/>
      <c r="D32" s="22">
        <f>VLOOKUP(A32, Materias!A2:C180, 3, FALSE)</f>
        <v>3</v>
      </c>
      <c r="E32" s="41" t="s">
        <v>159</v>
      </c>
      <c r="F32" s="36"/>
      <c r="G32" s="37"/>
    </row>
    <row r="33" spans="1:7" ht="14.25" customHeight="1" x14ac:dyDescent="0.35">
      <c r="A33" s="35" t="s">
        <v>207</v>
      </c>
      <c r="B33" s="36"/>
      <c r="C33" s="37"/>
      <c r="D33" s="22">
        <f>VLOOKUP(A33, Materias!A2:C180, 3, FALSE)</f>
        <v>4</v>
      </c>
      <c r="E33" s="54" t="s">
        <v>146</v>
      </c>
      <c r="F33" s="36"/>
      <c r="G33" s="37"/>
    </row>
    <row r="34" spans="1:7" ht="14.25" customHeight="1" x14ac:dyDescent="0.35">
      <c r="A34" s="35" t="s">
        <v>206</v>
      </c>
      <c r="B34" s="36"/>
      <c r="C34" s="37"/>
      <c r="D34" s="22">
        <f>VLOOKUP(A34, Materias!A2:C180, 3, FALSE)</f>
        <v>4</v>
      </c>
      <c r="E34" s="41" t="s">
        <v>169</v>
      </c>
      <c r="F34" s="36"/>
      <c r="G34" s="37"/>
    </row>
    <row r="35" spans="1:7" ht="14.25" customHeight="1" x14ac:dyDescent="0.35">
      <c r="A35" s="35" t="s">
        <v>90</v>
      </c>
      <c r="B35" s="36"/>
      <c r="C35" s="37"/>
      <c r="D35" s="22">
        <f>VLOOKUP(A35, Materias!A3:C181, 3, FALSE)</f>
        <v>4</v>
      </c>
      <c r="E35" s="41" t="s">
        <v>46</v>
      </c>
      <c r="F35" s="36"/>
      <c r="G35" s="37"/>
    </row>
    <row r="36" spans="1:7" ht="14.25" customHeight="1" x14ac:dyDescent="0.35">
      <c r="A36" s="35" t="s">
        <v>210</v>
      </c>
      <c r="B36" s="36"/>
      <c r="C36" s="37"/>
      <c r="D36" s="22">
        <f>VLOOKUP(A36, Materias!A4:C182, 3, FALSE)</f>
        <v>3</v>
      </c>
      <c r="E36" s="41" t="s">
        <v>211</v>
      </c>
      <c r="F36" s="36"/>
      <c r="G36" s="37"/>
    </row>
    <row r="37" spans="1:7" ht="14.25" customHeight="1" x14ac:dyDescent="0.35">
      <c r="A37" s="38" t="s">
        <v>55</v>
      </c>
      <c r="B37" s="36"/>
      <c r="C37" s="37"/>
      <c r="D37" s="21">
        <f>SUM(D30:D36)</f>
        <v>25</v>
      </c>
      <c r="E37" s="51"/>
      <c r="F37" s="36"/>
      <c r="G37" s="37"/>
    </row>
    <row r="38" spans="1:7" ht="14.25" customHeight="1" x14ac:dyDescent="0.35">
      <c r="A38" s="23"/>
      <c r="B38" s="23"/>
      <c r="C38" s="23"/>
      <c r="D38" s="24"/>
      <c r="E38" s="25"/>
      <c r="F38" s="25"/>
      <c r="G38" s="25"/>
    </row>
    <row r="39" spans="1:7" ht="15" customHeight="1" x14ac:dyDescent="0.35">
      <c r="A39" s="52" t="s">
        <v>180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50" t="s">
        <v>57</v>
      </c>
      <c r="B40" s="30"/>
      <c r="C40" s="30"/>
      <c r="D40" s="30"/>
      <c r="E40" s="30"/>
      <c r="F40" s="30"/>
      <c r="G40" s="30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>
      <c r="A42" s="11"/>
      <c r="B42" s="11"/>
      <c r="C42" s="11"/>
      <c r="D42" s="11"/>
      <c r="E42" s="11"/>
      <c r="F42" s="8"/>
      <c r="G42" s="8"/>
    </row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0">
    <mergeCell ref="A39:G39"/>
    <mergeCell ref="A40:G40"/>
    <mergeCell ref="A32:C32"/>
    <mergeCell ref="E32:G32"/>
    <mergeCell ref="A33:C33"/>
    <mergeCell ref="E33:G33"/>
    <mergeCell ref="A34:C34"/>
    <mergeCell ref="E34:G34"/>
    <mergeCell ref="E35:G35"/>
    <mergeCell ref="A35:C35"/>
    <mergeCell ref="A36:C36"/>
    <mergeCell ref="A37:C37"/>
    <mergeCell ref="E36:G36"/>
    <mergeCell ref="E37:G37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8" xr:uid="{00000000-0002-0000-1800-000001000000}">
      <formula1>#REF!</formula1>
    </dataValidation>
  </dataValidations>
  <printOptions horizontalCentered="1"/>
  <pageMargins left="0.25" right="0.25" top="0.75" bottom="0.75" header="0" footer="0"/>
  <pageSetup scale="7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1800-000000000000}">
          <x14:formula1>
            <xm:f>Docentes!$B$2:$B$208</xm:f>
          </x14:formula1>
          <xm:sqref>E30:E36</xm:sqref>
        </x14:dataValidation>
        <x14:dataValidation type="list" allowBlank="1" xr:uid="{00000000-0002-0000-1800-000002000000}">
          <x14:formula1>
            <xm:f>Materias!$A$61:$A$67</xm:f>
          </x14:formula1>
          <xm:sqref>B13:G27</xm:sqref>
        </x14:dataValidation>
        <x14:dataValidation type="list" allowBlank="1" showErrorMessage="1" xr:uid="{00000000-0002-0000-1800-000003000000}">
          <x14:formula1>
            <xm:f>Materias!$A$61:$A$67</xm:f>
          </x14:formula1>
          <xm:sqref>A30:A36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tabColor rgb="FFDE20DE"/>
    <pageSetUpPr fitToPage="1"/>
  </sheetPr>
  <dimension ref="A1:G1000"/>
  <sheetViews>
    <sheetView view="pageBreakPreview" topLeftCell="A15" zoomScale="60" zoomScaleNormal="50" workbookViewId="0">
      <selection activeCell="D25" sqref="D25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203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212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475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31" x14ac:dyDescent="0.35">
      <c r="A18" s="18" t="s">
        <v>29</v>
      </c>
      <c r="B18" s="16"/>
      <c r="C18" s="16"/>
      <c r="D18" s="16"/>
      <c r="E18" s="16"/>
      <c r="F18" s="16"/>
      <c r="G18" s="16"/>
    </row>
    <row r="19" spans="1:7" ht="35.5" x14ac:dyDescent="0.35">
      <c r="A19" s="18" t="s">
        <v>31</v>
      </c>
      <c r="B19" s="16" t="s">
        <v>611</v>
      </c>
      <c r="C19" s="16"/>
      <c r="D19" s="16"/>
      <c r="E19" s="16" t="s">
        <v>615</v>
      </c>
      <c r="F19" s="16"/>
      <c r="G19" s="16"/>
    </row>
    <row r="20" spans="1:7" ht="35.5" x14ac:dyDescent="0.35">
      <c r="A20" s="18" t="s">
        <v>32</v>
      </c>
      <c r="B20" s="16" t="s">
        <v>611</v>
      </c>
      <c r="C20" s="16" t="s">
        <v>610</v>
      </c>
      <c r="D20" s="16" t="s">
        <v>612</v>
      </c>
      <c r="E20" s="16" t="s">
        <v>615</v>
      </c>
      <c r="F20" s="16"/>
      <c r="G20" s="16"/>
    </row>
    <row r="21" spans="1:7" ht="35.5" x14ac:dyDescent="0.35">
      <c r="A21" s="18" t="s">
        <v>33</v>
      </c>
      <c r="B21" s="16" t="s">
        <v>611</v>
      </c>
      <c r="C21" s="16" t="s">
        <v>610</v>
      </c>
      <c r="D21" s="16" t="s">
        <v>612</v>
      </c>
      <c r="E21" s="16" t="s">
        <v>615</v>
      </c>
      <c r="F21" s="16"/>
      <c r="G21" s="16"/>
    </row>
    <row r="22" spans="1:7" ht="31" x14ac:dyDescent="0.35">
      <c r="A22" s="18" t="s">
        <v>34</v>
      </c>
      <c r="B22" s="13" t="s">
        <v>90</v>
      </c>
      <c r="C22" s="13" t="s">
        <v>90</v>
      </c>
      <c r="D22" s="13" t="s">
        <v>90</v>
      </c>
      <c r="E22" s="13" t="s">
        <v>90</v>
      </c>
      <c r="F22" s="16"/>
      <c r="G22" s="16"/>
    </row>
    <row r="23" spans="1:7" ht="53" x14ac:dyDescent="0.35">
      <c r="A23" s="18" t="s">
        <v>35</v>
      </c>
      <c r="B23" s="16" t="s">
        <v>613</v>
      </c>
      <c r="C23" s="16" t="s">
        <v>612</v>
      </c>
      <c r="D23" s="16" t="s">
        <v>614</v>
      </c>
      <c r="E23" s="16" t="s">
        <v>610</v>
      </c>
      <c r="F23" s="16"/>
      <c r="G23" s="16"/>
    </row>
    <row r="24" spans="1:7" ht="53" x14ac:dyDescent="0.35">
      <c r="A24" s="18" t="s">
        <v>36</v>
      </c>
      <c r="B24" s="16" t="s">
        <v>613</v>
      </c>
      <c r="C24" s="16" t="s">
        <v>612</v>
      </c>
      <c r="D24" s="16" t="s">
        <v>614</v>
      </c>
      <c r="E24" s="16" t="s">
        <v>610</v>
      </c>
      <c r="F24" s="16"/>
      <c r="G24" s="16"/>
    </row>
    <row r="25" spans="1:7" ht="53" x14ac:dyDescent="0.35">
      <c r="A25" s="18" t="s">
        <v>37</v>
      </c>
      <c r="B25" s="16" t="s">
        <v>613</v>
      </c>
      <c r="C25" s="16" t="s">
        <v>614</v>
      </c>
      <c r="D25" s="16"/>
      <c r="E25" s="16"/>
      <c r="F25" s="16"/>
      <c r="G25" s="16"/>
    </row>
    <row r="26" spans="1:7" ht="53" x14ac:dyDescent="0.35">
      <c r="A26" s="18" t="s">
        <v>38</v>
      </c>
      <c r="B26" s="16"/>
      <c r="C26" s="16" t="s">
        <v>614</v>
      </c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208</v>
      </c>
      <c r="B30" s="36"/>
      <c r="C30" s="37"/>
      <c r="D30" s="22">
        <f>VLOOKUP(A30, Materias!A2:C180, 3, FALSE)</f>
        <v>3</v>
      </c>
      <c r="E30" s="41" t="s">
        <v>156</v>
      </c>
      <c r="F30" s="36"/>
      <c r="G30" s="37"/>
    </row>
    <row r="31" spans="1:7" ht="14.25" customHeight="1" x14ac:dyDescent="0.35">
      <c r="A31" s="35" t="s">
        <v>209</v>
      </c>
      <c r="B31" s="36"/>
      <c r="C31" s="37"/>
      <c r="D31" s="22">
        <f>VLOOKUP(A31, Materias!A2:C180, 3, FALSE)</f>
        <v>4</v>
      </c>
      <c r="E31" s="41" t="s">
        <v>168</v>
      </c>
      <c r="F31" s="36"/>
      <c r="G31" s="37"/>
    </row>
    <row r="32" spans="1:7" ht="14.25" customHeight="1" x14ac:dyDescent="0.35">
      <c r="A32" s="35" t="s">
        <v>205</v>
      </c>
      <c r="B32" s="36"/>
      <c r="C32" s="37"/>
      <c r="D32" s="22">
        <f>VLOOKUP(A32, Materias!A2:C180, 3, FALSE)</f>
        <v>3</v>
      </c>
      <c r="E32" s="41" t="s">
        <v>159</v>
      </c>
      <c r="F32" s="36"/>
      <c r="G32" s="37"/>
    </row>
    <row r="33" spans="1:7" ht="14.25" customHeight="1" x14ac:dyDescent="0.35">
      <c r="A33" s="35" t="s">
        <v>207</v>
      </c>
      <c r="B33" s="36"/>
      <c r="C33" s="37"/>
      <c r="D33" s="22">
        <f>VLOOKUP(A33, Materias!A2:C180, 3, FALSE)</f>
        <v>4</v>
      </c>
      <c r="E33" s="54" t="s">
        <v>146</v>
      </c>
      <c r="F33" s="36"/>
      <c r="G33" s="37"/>
    </row>
    <row r="34" spans="1:7" ht="14.25" customHeight="1" x14ac:dyDescent="0.35">
      <c r="A34" s="35" t="s">
        <v>206</v>
      </c>
      <c r="B34" s="36"/>
      <c r="C34" s="37"/>
      <c r="D34" s="22">
        <f>VLOOKUP(A34, Materias!A2:C180, 3, FALSE)</f>
        <v>4</v>
      </c>
      <c r="E34" s="41" t="s">
        <v>169</v>
      </c>
      <c r="F34" s="36"/>
      <c r="G34" s="37"/>
    </row>
    <row r="35" spans="1:7" ht="14.25" customHeight="1" x14ac:dyDescent="0.35">
      <c r="A35" s="35" t="s">
        <v>90</v>
      </c>
      <c r="B35" s="36"/>
      <c r="C35" s="37"/>
      <c r="D35" s="22">
        <f>VLOOKUP(A35, Materias!A3:C181, 3, FALSE)</f>
        <v>4</v>
      </c>
      <c r="E35" s="41" t="s">
        <v>46</v>
      </c>
      <c r="F35" s="36"/>
      <c r="G35" s="37"/>
    </row>
    <row r="36" spans="1:7" ht="14.25" customHeight="1" x14ac:dyDescent="0.35">
      <c r="A36" s="35" t="s">
        <v>210</v>
      </c>
      <c r="B36" s="36"/>
      <c r="C36" s="37"/>
      <c r="D36" s="22">
        <f>VLOOKUP(A36, Materias!A4:C182, 3, FALSE)</f>
        <v>3</v>
      </c>
      <c r="E36" s="41" t="s">
        <v>211</v>
      </c>
      <c r="F36" s="36"/>
      <c r="G36" s="37"/>
    </row>
    <row r="37" spans="1:7" ht="14.25" customHeight="1" x14ac:dyDescent="0.35">
      <c r="A37" s="38" t="s">
        <v>55</v>
      </c>
      <c r="B37" s="36"/>
      <c r="C37" s="37"/>
      <c r="D37" s="21">
        <f>SUM(D30:D36)</f>
        <v>25</v>
      </c>
      <c r="E37" s="51"/>
      <c r="F37" s="36"/>
      <c r="G37" s="37"/>
    </row>
    <row r="38" spans="1:7" ht="14.25" customHeight="1" x14ac:dyDescent="0.35">
      <c r="A38" s="23"/>
      <c r="B38" s="23"/>
      <c r="C38" s="23"/>
      <c r="D38" s="24"/>
      <c r="E38" s="25"/>
      <c r="F38" s="25"/>
      <c r="G38" s="25"/>
    </row>
    <row r="39" spans="1:7" ht="15" customHeight="1" x14ac:dyDescent="0.35">
      <c r="A39" s="52" t="s">
        <v>180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50" t="s">
        <v>57</v>
      </c>
      <c r="B40" s="30"/>
      <c r="C40" s="30"/>
      <c r="D40" s="30"/>
      <c r="E40" s="30"/>
      <c r="F40" s="30"/>
      <c r="G40" s="30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>
      <c r="A42" s="11"/>
      <c r="B42" s="11"/>
      <c r="C42" s="11"/>
      <c r="D42" s="11"/>
      <c r="E42" s="11"/>
      <c r="F42" s="8"/>
      <c r="G42" s="8"/>
    </row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0">
    <mergeCell ref="A39:G39"/>
    <mergeCell ref="A40:G40"/>
    <mergeCell ref="A32:C32"/>
    <mergeCell ref="E32:G32"/>
    <mergeCell ref="A33:C33"/>
    <mergeCell ref="E33:G33"/>
    <mergeCell ref="A34:C34"/>
    <mergeCell ref="E34:G34"/>
    <mergeCell ref="E35:G35"/>
    <mergeCell ref="A35:C35"/>
    <mergeCell ref="A36:C36"/>
    <mergeCell ref="A37:C37"/>
    <mergeCell ref="E36:G36"/>
    <mergeCell ref="E37:G37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8" xr:uid="{00000000-0002-0000-1900-000001000000}">
      <formula1>#REF!</formula1>
    </dataValidation>
  </dataValidations>
  <printOptions horizontalCentered="1"/>
  <pageMargins left="0.25" right="0.25" top="0.75" bottom="0.75" header="0" footer="0"/>
  <pageSetup scale="7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1900-000000000000}">
          <x14:formula1>
            <xm:f>Docentes!$B$2:$B$208</xm:f>
          </x14:formula1>
          <xm:sqref>E30:E36</xm:sqref>
        </x14:dataValidation>
        <x14:dataValidation type="list" allowBlank="1" xr:uid="{00000000-0002-0000-1900-000002000000}">
          <x14:formula1>
            <xm:f>Materias!$A$61:$A$67</xm:f>
          </x14:formula1>
          <xm:sqref>B13:G27</xm:sqref>
        </x14:dataValidation>
        <x14:dataValidation type="list" allowBlank="1" showErrorMessage="1" xr:uid="{00000000-0002-0000-1900-000003000000}">
          <x14:formula1>
            <xm:f>Materias!$A$61:$A$67</xm:f>
          </x14:formula1>
          <xm:sqref>A30:A36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>
    <tabColor rgb="FFDE20DE"/>
    <pageSetUpPr fitToPage="1"/>
  </sheetPr>
  <dimension ref="A1:G1000"/>
  <sheetViews>
    <sheetView view="pageBreakPreview" topLeftCell="A17" zoomScale="60" zoomScaleNormal="50" workbookViewId="0">
      <selection activeCell="D25" sqref="D25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203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213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466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31" x14ac:dyDescent="0.35">
      <c r="A18" s="18" t="s">
        <v>29</v>
      </c>
      <c r="B18" s="16"/>
      <c r="C18" s="16"/>
      <c r="D18" s="16"/>
      <c r="E18" s="16"/>
      <c r="F18" s="16"/>
      <c r="G18" s="16"/>
    </row>
    <row r="19" spans="1:7" ht="53" x14ac:dyDescent="0.35">
      <c r="A19" s="18" t="s">
        <v>31</v>
      </c>
      <c r="B19" s="16"/>
      <c r="C19" s="16" t="s">
        <v>616</v>
      </c>
      <c r="D19" s="16"/>
      <c r="E19" s="16"/>
      <c r="F19" s="16"/>
      <c r="G19" s="16"/>
    </row>
    <row r="20" spans="1:7" ht="53" x14ac:dyDescent="0.35">
      <c r="A20" s="18" t="s">
        <v>32</v>
      </c>
      <c r="B20" s="16" t="s">
        <v>618</v>
      </c>
      <c r="C20" s="16" t="s">
        <v>616</v>
      </c>
      <c r="D20" s="16"/>
      <c r="E20" s="16" t="s">
        <v>535</v>
      </c>
      <c r="F20" s="16"/>
      <c r="G20" s="16"/>
    </row>
    <row r="21" spans="1:7" ht="53" x14ac:dyDescent="0.35">
      <c r="A21" s="18" t="s">
        <v>33</v>
      </c>
      <c r="B21" s="16" t="s">
        <v>618</v>
      </c>
      <c r="C21" s="16" t="s">
        <v>616</v>
      </c>
      <c r="D21" s="16"/>
      <c r="E21" s="16" t="s">
        <v>535</v>
      </c>
      <c r="F21" s="16" t="s">
        <v>535</v>
      </c>
      <c r="G21" s="16"/>
    </row>
    <row r="22" spans="1:7" ht="53" x14ac:dyDescent="0.35">
      <c r="A22" s="18" t="s">
        <v>34</v>
      </c>
      <c r="B22" s="13" t="s">
        <v>106</v>
      </c>
      <c r="C22" s="13" t="s">
        <v>106</v>
      </c>
      <c r="D22" s="13" t="s">
        <v>106</v>
      </c>
      <c r="E22" s="13" t="s">
        <v>106</v>
      </c>
      <c r="F22" s="16" t="s">
        <v>535</v>
      </c>
      <c r="G22" s="16"/>
    </row>
    <row r="23" spans="1:7" ht="53" x14ac:dyDescent="0.35">
      <c r="A23" s="18" t="s">
        <v>35</v>
      </c>
      <c r="B23" s="16" t="s">
        <v>617</v>
      </c>
      <c r="C23" s="16" t="s">
        <v>617</v>
      </c>
      <c r="D23" s="16" t="s">
        <v>617</v>
      </c>
      <c r="E23" s="16" t="s">
        <v>616</v>
      </c>
      <c r="F23" s="16" t="s">
        <v>618</v>
      </c>
      <c r="G23" s="16"/>
    </row>
    <row r="24" spans="1:7" ht="53" x14ac:dyDescent="0.35">
      <c r="A24" s="18" t="s">
        <v>36</v>
      </c>
      <c r="B24" s="16" t="s">
        <v>617</v>
      </c>
      <c r="C24" s="16" t="s">
        <v>617</v>
      </c>
      <c r="D24" s="16" t="s">
        <v>617</v>
      </c>
      <c r="E24" s="16" t="s">
        <v>616</v>
      </c>
      <c r="F24" s="16"/>
      <c r="G24" s="16"/>
    </row>
    <row r="25" spans="1:7" ht="53" x14ac:dyDescent="0.35">
      <c r="A25" s="18" t="s">
        <v>37</v>
      </c>
      <c r="B25" s="16"/>
      <c r="C25" s="16"/>
      <c r="D25" s="16" t="s">
        <v>616</v>
      </c>
      <c r="E25" s="16" t="s">
        <v>616</v>
      </c>
      <c r="F25" s="16"/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217</v>
      </c>
      <c r="B30" s="36"/>
      <c r="C30" s="37"/>
      <c r="D30" s="22">
        <f>VLOOKUP(A30, Materias!A2:C180, 3, FALSE)</f>
        <v>6</v>
      </c>
      <c r="E30" s="41" t="s">
        <v>153</v>
      </c>
      <c r="F30" s="36"/>
      <c r="G30" s="37"/>
    </row>
    <row r="31" spans="1:7" ht="14.25" customHeight="1" x14ac:dyDescent="0.35">
      <c r="A31" s="35" t="s">
        <v>216</v>
      </c>
      <c r="B31" s="36"/>
      <c r="C31" s="37"/>
      <c r="D31" s="22">
        <f>VLOOKUP(A31, Materias!A2:C180, 3, FALSE)</f>
        <v>4</v>
      </c>
      <c r="E31" s="41" t="s">
        <v>101</v>
      </c>
      <c r="F31" s="36"/>
      <c r="G31" s="37"/>
    </row>
    <row r="32" spans="1:7" ht="14.25" customHeight="1" x14ac:dyDescent="0.35">
      <c r="A32" s="35" t="s">
        <v>214</v>
      </c>
      <c r="B32" s="36"/>
      <c r="C32" s="37"/>
      <c r="D32" s="22">
        <f>VLOOKUP(A32, Materias!A2:C180, 3, FALSE)</f>
        <v>7</v>
      </c>
      <c r="E32" s="41" t="s">
        <v>218</v>
      </c>
      <c r="F32" s="36"/>
      <c r="G32" s="37"/>
    </row>
    <row r="33" spans="1:7" ht="14.25" customHeight="1" x14ac:dyDescent="0.35">
      <c r="A33" s="35" t="s">
        <v>106</v>
      </c>
      <c r="B33" s="36"/>
      <c r="C33" s="37"/>
      <c r="D33" s="22">
        <f>VLOOKUP(A33, Materias!A2:C180, 3, FALSE)</f>
        <v>4</v>
      </c>
      <c r="E33" s="41" t="s">
        <v>46</v>
      </c>
      <c r="F33" s="36"/>
      <c r="G33" s="37"/>
    </row>
    <row r="34" spans="1:7" ht="14.25" customHeight="1" x14ac:dyDescent="0.35">
      <c r="A34" s="35" t="s">
        <v>215</v>
      </c>
      <c r="B34" s="36"/>
      <c r="C34" s="37"/>
      <c r="D34" s="22">
        <f>VLOOKUP(A34, Materias!A2:C180, 3, FALSE)</f>
        <v>3</v>
      </c>
      <c r="E34" s="41" t="s">
        <v>219</v>
      </c>
      <c r="F34" s="36"/>
      <c r="G34" s="37"/>
    </row>
    <row r="35" spans="1:7" ht="14.25" customHeight="1" x14ac:dyDescent="0.35">
      <c r="A35" s="38" t="s">
        <v>55</v>
      </c>
      <c r="B35" s="36"/>
      <c r="C35" s="37"/>
      <c r="D35" s="21">
        <f>SUM(D30:D34)</f>
        <v>24</v>
      </c>
      <c r="E35" s="51"/>
      <c r="F35" s="36"/>
      <c r="G35" s="37"/>
    </row>
    <row r="36" spans="1:7" ht="14.25" customHeight="1" x14ac:dyDescent="0.35">
      <c r="A36" s="23"/>
      <c r="B36" s="23"/>
      <c r="C36" s="23"/>
      <c r="D36" s="24"/>
      <c r="E36" s="25"/>
      <c r="F36" s="25"/>
      <c r="G36" s="25"/>
    </row>
    <row r="37" spans="1:7" ht="15" customHeight="1" x14ac:dyDescent="0.35">
      <c r="A37" s="52" t="s">
        <v>180</v>
      </c>
      <c r="B37" s="30"/>
      <c r="C37" s="30"/>
      <c r="D37" s="30"/>
      <c r="E37" s="30"/>
      <c r="F37" s="30"/>
      <c r="G37" s="30"/>
    </row>
    <row r="38" spans="1:7" ht="14.25" customHeight="1" x14ac:dyDescent="0.35">
      <c r="A38" s="50" t="s">
        <v>57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11"/>
      <c r="B39" s="11"/>
      <c r="C39" s="11"/>
      <c r="D39" s="11"/>
      <c r="E39" s="11"/>
      <c r="F39" s="8"/>
      <c r="G39" s="8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/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6">
    <mergeCell ref="E35:G35"/>
    <mergeCell ref="A37:G37"/>
    <mergeCell ref="A38:G38"/>
    <mergeCell ref="A32:C32"/>
    <mergeCell ref="E32:G32"/>
    <mergeCell ref="A33:C33"/>
    <mergeCell ref="E33:G33"/>
    <mergeCell ref="A34:C34"/>
    <mergeCell ref="E34:G34"/>
    <mergeCell ref="A35:C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6" xr:uid="{00000000-0002-0000-1A00-000003000000}">
      <formula1>#REF!</formula1>
    </dataValidation>
  </dataValidations>
  <printOptions horizontalCentered="1"/>
  <pageMargins left="0.25" right="0.25" top="0.75" bottom="0.75" header="0" footer="0"/>
  <pageSetup scale="7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1A00-000000000000}">
          <x14:formula1>
            <xm:f>Materias!$A$68:$A$72</xm:f>
          </x14:formula1>
          <xm:sqref>B13:G27</xm:sqref>
        </x14:dataValidation>
        <x14:dataValidation type="list" allowBlank="1" showErrorMessage="1" xr:uid="{00000000-0002-0000-1A00-000001000000}">
          <x14:formula1>
            <xm:f>Materias!$A$68:$A$72</xm:f>
          </x14:formula1>
          <xm:sqref>A30:A34</xm:sqref>
        </x14:dataValidation>
        <x14:dataValidation type="list" allowBlank="1" xr:uid="{00000000-0002-0000-1A00-000002000000}">
          <x14:formula1>
            <xm:f>Docentes!$B$2:$B$208</xm:f>
          </x14:formula1>
          <xm:sqref>E30:E34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>
    <tabColor rgb="FFDE20DE"/>
    <pageSetUpPr fitToPage="1"/>
  </sheetPr>
  <dimension ref="A1:G1000"/>
  <sheetViews>
    <sheetView view="pageBreakPreview" topLeftCell="A20" zoomScale="60" zoomScaleNormal="50" workbookViewId="0">
      <selection activeCell="D25" sqref="D25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203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220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466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31" x14ac:dyDescent="0.35">
      <c r="A18" s="18" t="s">
        <v>29</v>
      </c>
      <c r="B18" s="16"/>
      <c r="C18" s="16"/>
      <c r="D18" s="16"/>
      <c r="E18" s="16"/>
      <c r="F18" s="16"/>
      <c r="G18" s="16"/>
    </row>
    <row r="19" spans="1:7" ht="31" x14ac:dyDescent="0.35">
      <c r="A19" s="18" t="s">
        <v>31</v>
      </c>
      <c r="B19" s="16"/>
      <c r="C19" s="16"/>
      <c r="D19" s="16"/>
      <c r="E19" s="16"/>
      <c r="F19" s="16"/>
      <c r="G19" s="16"/>
    </row>
    <row r="20" spans="1:7" ht="53" x14ac:dyDescent="0.35">
      <c r="A20" s="18" t="s">
        <v>32</v>
      </c>
      <c r="B20" s="16" t="s">
        <v>620</v>
      </c>
      <c r="C20" s="16" t="s">
        <v>620</v>
      </c>
      <c r="D20" s="16" t="s">
        <v>616</v>
      </c>
      <c r="E20" s="16" t="s">
        <v>619</v>
      </c>
      <c r="F20" s="16" t="s">
        <v>616</v>
      </c>
      <c r="G20" s="16"/>
    </row>
    <row r="21" spans="1:7" ht="53" x14ac:dyDescent="0.35">
      <c r="A21" s="18" t="s">
        <v>33</v>
      </c>
      <c r="B21" s="16" t="s">
        <v>620</v>
      </c>
      <c r="C21" s="16" t="s">
        <v>620</v>
      </c>
      <c r="D21" s="16" t="s">
        <v>616</v>
      </c>
      <c r="E21" s="16" t="s">
        <v>619</v>
      </c>
      <c r="F21" s="16" t="s">
        <v>616</v>
      </c>
      <c r="G21" s="16"/>
    </row>
    <row r="22" spans="1:7" ht="53" x14ac:dyDescent="0.35">
      <c r="A22" s="18" t="s">
        <v>34</v>
      </c>
      <c r="B22" s="13" t="s">
        <v>106</v>
      </c>
      <c r="C22" s="13" t="s">
        <v>106</v>
      </c>
      <c r="D22" s="13" t="s">
        <v>106</v>
      </c>
      <c r="E22" s="13" t="s">
        <v>106</v>
      </c>
      <c r="F22" s="16" t="s">
        <v>619</v>
      </c>
      <c r="G22" s="16"/>
    </row>
    <row r="23" spans="1:7" ht="53" x14ac:dyDescent="0.35">
      <c r="A23" s="18" t="s">
        <v>35</v>
      </c>
      <c r="B23" s="16" t="s">
        <v>621</v>
      </c>
      <c r="C23" s="16" t="s">
        <v>616</v>
      </c>
      <c r="D23" s="16"/>
      <c r="E23" s="16" t="s">
        <v>620</v>
      </c>
      <c r="F23" s="16" t="s">
        <v>619</v>
      </c>
      <c r="G23" s="16"/>
    </row>
    <row r="24" spans="1:7" ht="53" x14ac:dyDescent="0.35">
      <c r="A24" s="18" t="s">
        <v>36</v>
      </c>
      <c r="B24" s="16"/>
      <c r="C24" s="16" t="s">
        <v>616</v>
      </c>
      <c r="D24" s="16"/>
      <c r="E24" s="16" t="s">
        <v>620</v>
      </c>
      <c r="F24" s="16" t="s">
        <v>621</v>
      </c>
      <c r="G24" s="16"/>
    </row>
    <row r="25" spans="1:7" ht="53" x14ac:dyDescent="0.35">
      <c r="A25" s="18" t="s">
        <v>37</v>
      </c>
      <c r="B25" s="16"/>
      <c r="C25" s="16" t="s">
        <v>616</v>
      </c>
      <c r="D25" s="16"/>
      <c r="E25" s="16"/>
      <c r="F25" s="16" t="s">
        <v>621</v>
      </c>
      <c r="G25" s="16"/>
    </row>
    <row r="26" spans="1:7" ht="31" x14ac:dyDescent="0.35">
      <c r="A26" s="18" t="s">
        <v>38</v>
      </c>
      <c r="B26" s="16"/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217</v>
      </c>
      <c r="B30" s="36"/>
      <c r="C30" s="37"/>
      <c r="D30" s="22">
        <f>VLOOKUP(A30, Materias!A2:C180, 3, FALSE)</f>
        <v>6</v>
      </c>
      <c r="E30" s="41" t="s">
        <v>153</v>
      </c>
      <c r="F30" s="36"/>
      <c r="G30" s="37"/>
    </row>
    <row r="31" spans="1:7" ht="14.25" customHeight="1" x14ac:dyDescent="0.35">
      <c r="A31" s="35" t="s">
        <v>216</v>
      </c>
      <c r="B31" s="36"/>
      <c r="C31" s="37"/>
      <c r="D31" s="22">
        <f>VLOOKUP(A31, Materias!A2:C180, 3, FALSE)</f>
        <v>4</v>
      </c>
      <c r="E31" s="41" t="s">
        <v>52</v>
      </c>
      <c r="F31" s="36"/>
      <c r="G31" s="37"/>
    </row>
    <row r="32" spans="1:7" ht="14.25" customHeight="1" x14ac:dyDescent="0.35">
      <c r="A32" s="35" t="s">
        <v>214</v>
      </c>
      <c r="B32" s="36"/>
      <c r="C32" s="37"/>
      <c r="D32" s="22">
        <f>VLOOKUP(A32, Materias!A2:C180, 3, FALSE)</f>
        <v>7</v>
      </c>
      <c r="E32" s="41" t="s">
        <v>218</v>
      </c>
      <c r="F32" s="36"/>
      <c r="G32" s="37"/>
    </row>
    <row r="33" spans="1:7" ht="14.25" customHeight="1" x14ac:dyDescent="0.35">
      <c r="A33" s="35" t="s">
        <v>106</v>
      </c>
      <c r="B33" s="36"/>
      <c r="C33" s="37"/>
      <c r="D33" s="22">
        <f>VLOOKUP(A33, Materias!A2:C180, 3, FALSE)</f>
        <v>4</v>
      </c>
      <c r="E33" s="41" t="s">
        <v>46</v>
      </c>
      <c r="F33" s="36"/>
      <c r="G33" s="37"/>
    </row>
    <row r="34" spans="1:7" ht="14.25" customHeight="1" x14ac:dyDescent="0.35">
      <c r="A34" s="35" t="s">
        <v>215</v>
      </c>
      <c r="B34" s="36"/>
      <c r="C34" s="37"/>
      <c r="D34" s="22">
        <f>VLOOKUP(A34, Materias!A2:C180, 3, FALSE)</f>
        <v>3</v>
      </c>
      <c r="E34" s="41" t="s">
        <v>219</v>
      </c>
      <c r="F34" s="36"/>
      <c r="G34" s="37"/>
    </row>
    <row r="35" spans="1:7" ht="14.25" customHeight="1" x14ac:dyDescent="0.35">
      <c r="A35" s="38" t="s">
        <v>55</v>
      </c>
      <c r="B35" s="36"/>
      <c r="C35" s="37"/>
      <c r="D35" s="21">
        <f>SUM(D30:D34)</f>
        <v>24</v>
      </c>
      <c r="E35" s="51"/>
      <c r="F35" s="36"/>
      <c r="G35" s="37"/>
    </row>
    <row r="36" spans="1:7" ht="14.25" customHeight="1" x14ac:dyDescent="0.35">
      <c r="A36" s="23"/>
      <c r="B36" s="23"/>
      <c r="C36" s="23"/>
      <c r="D36" s="24"/>
      <c r="E36" s="25"/>
      <c r="F36" s="25"/>
      <c r="G36" s="25"/>
    </row>
    <row r="37" spans="1:7" ht="15" customHeight="1" x14ac:dyDescent="0.35">
      <c r="A37" s="52" t="s">
        <v>180</v>
      </c>
      <c r="B37" s="30"/>
      <c r="C37" s="30"/>
      <c r="D37" s="30"/>
      <c r="E37" s="30"/>
      <c r="F37" s="30"/>
      <c r="G37" s="30"/>
    </row>
    <row r="38" spans="1:7" ht="14.25" customHeight="1" x14ac:dyDescent="0.35">
      <c r="A38" s="50" t="s">
        <v>57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11"/>
      <c r="B39" s="11"/>
      <c r="C39" s="11"/>
      <c r="D39" s="11"/>
      <c r="E39" s="11"/>
      <c r="F39" s="8"/>
      <c r="G39" s="8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/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6">
    <mergeCell ref="E35:G35"/>
    <mergeCell ref="A37:G37"/>
    <mergeCell ref="A38:G38"/>
    <mergeCell ref="A32:C32"/>
    <mergeCell ref="E32:G32"/>
    <mergeCell ref="A33:C33"/>
    <mergeCell ref="E33:G33"/>
    <mergeCell ref="A34:C34"/>
    <mergeCell ref="E34:G34"/>
    <mergeCell ref="A35:C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6" xr:uid="{00000000-0002-0000-1B00-000003000000}">
      <formula1>#REF!</formula1>
    </dataValidation>
  </dataValidations>
  <printOptions horizontalCentered="1"/>
  <pageMargins left="0.25" right="0.25" top="0.75" bottom="0.75" header="0" footer="0"/>
  <pageSetup scale="7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1B00-000000000000}">
          <x14:formula1>
            <xm:f>Materias!$A$68:$A$72</xm:f>
          </x14:formula1>
          <xm:sqref>B13:G27</xm:sqref>
        </x14:dataValidation>
        <x14:dataValidation type="list" allowBlank="1" showErrorMessage="1" xr:uid="{00000000-0002-0000-1B00-000001000000}">
          <x14:formula1>
            <xm:f>Materias!$A$68:$A$72</xm:f>
          </x14:formula1>
          <xm:sqref>A30:A34</xm:sqref>
        </x14:dataValidation>
        <x14:dataValidation type="list" allowBlank="1" xr:uid="{00000000-0002-0000-1B00-000002000000}">
          <x14:formula1>
            <xm:f>Docentes!$B$2:$B$208</xm:f>
          </x14:formula1>
          <xm:sqref>E30:E34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>
    <tabColor rgb="FFDE20DE"/>
    <pageSetUpPr fitToPage="1"/>
  </sheetPr>
  <dimension ref="A1:G1000"/>
  <sheetViews>
    <sheetView view="pageBreakPreview" topLeftCell="A16" zoomScale="60" zoomScaleNormal="50" workbookViewId="0">
      <selection activeCell="D25" sqref="D25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203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221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466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31" x14ac:dyDescent="0.35">
      <c r="A18" s="18" t="s">
        <v>29</v>
      </c>
      <c r="B18" s="16"/>
      <c r="C18" s="16"/>
      <c r="D18" s="16"/>
      <c r="E18" s="16"/>
      <c r="F18" s="16"/>
      <c r="G18" s="16"/>
    </row>
    <row r="19" spans="1:7" ht="31" x14ac:dyDescent="0.35">
      <c r="A19" s="18" t="s">
        <v>31</v>
      </c>
      <c r="B19" s="16"/>
      <c r="C19" s="16"/>
      <c r="D19" s="16"/>
      <c r="E19" s="16"/>
      <c r="F19" s="16"/>
      <c r="G19" s="16"/>
    </row>
    <row r="20" spans="1:7" ht="53" x14ac:dyDescent="0.35">
      <c r="A20" s="18" t="s">
        <v>32</v>
      </c>
      <c r="B20" s="16"/>
      <c r="C20" s="16"/>
      <c r="D20" s="16"/>
      <c r="E20" s="16" t="s">
        <v>616</v>
      </c>
      <c r="F20" s="16" t="s">
        <v>536</v>
      </c>
      <c r="G20" s="16"/>
    </row>
    <row r="21" spans="1:7" ht="53" x14ac:dyDescent="0.35">
      <c r="A21" s="18" t="s">
        <v>33</v>
      </c>
      <c r="B21" s="16"/>
      <c r="C21" s="16"/>
      <c r="D21" s="16"/>
      <c r="E21" s="16" t="s">
        <v>616</v>
      </c>
      <c r="F21" s="16" t="s">
        <v>536</v>
      </c>
      <c r="G21" s="16"/>
    </row>
    <row r="22" spans="1:7" ht="53" x14ac:dyDescent="0.35">
      <c r="A22" s="18" t="s">
        <v>34</v>
      </c>
      <c r="B22" s="13" t="s">
        <v>106</v>
      </c>
      <c r="C22" s="13" t="s">
        <v>106</v>
      </c>
      <c r="D22" s="13" t="s">
        <v>106</v>
      </c>
      <c r="E22" s="13" t="s">
        <v>106</v>
      </c>
      <c r="F22" s="16" t="s">
        <v>616</v>
      </c>
      <c r="G22" s="16"/>
    </row>
    <row r="23" spans="1:7" ht="53" x14ac:dyDescent="0.35">
      <c r="A23" s="18" t="s">
        <v>35</v>
      </c>
      <c r="B23" s="16"/>
      <c r="C23" s="16" t="s">
        <v>619</v>
      </c>
      <c r="D23" s="16" t="s">
        <v>616</v>
      </c>
      <c r="E23" s="16" t="s">
        <v>619</v>
      </c>
      <c r="F23" s="16" t="s">
        <v>616</v>
      </c>
      <c r="G23" s="16"/>
    </row>
    <row r="24" spans="1:7" ht="53" x14ac:dyDescent="0.35">
      <c r="A24" s="18" t="s">
        <v>36</v>
      </c>
      <c r="B24" s="16" t="s">
        <v>537</v>
      </c>
      <c r="C24" s="16" t="s">
        <v>619</v>
      </c>
      <c r="D24" s="16" t="s">
        <v>616</v>
      </c>
      <c r="E24" s="16" t="s">
        <v>619</v>
      </c>
      <c r="F24" s="16" t="s">
        <v>616</v>
      </c>
      <c r="G24" s="16"/>
    </row>
    <row r="25" spans="1:7" ht="53" x14ac:dyDescent="0.35">
      <c r="A25" s="18" t="s">
        <v>37</v>
      </c>
      <c r="B25" s="16" t="s">
        <v>537</v>
      </c>
      <c r="C25" s="16" t="s">
        <v>536</v>
      </c>
      <c r="D25" s="16" t="s">
        <v>536</v>
      </c>
      <c r="E25" s="16"/>
      <c r="F25" s="16"/>
      <c r="G25" s="16"/>
    </row>
    <row r="26" spans="1:7" ht="53" x14ac:dyDescent="0.35">
      <c r="A26" s="18" t="s">
        <v>38</v>
      </c>
      <c r="B26" s="16" t="s">
        <v>537</v>
      </c>
      <c r="C26" s="16" t="s">
        <v>536</v>
      </c>
      <c r="D26" s="16" t="s">
        <v>536</v>
      </c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217</v>
      </c>
      <c r="B30" s="36"/>
      <c r="C30" s="37"/>
      <c r="D30" s="22">
        <f>VLOOKUP(A30, Materias!A2:C180, 3, FALSE)</f>
        <v>6</v>
      </c>
      <c r="E30" s="41" t="s">
        <v>153</v>
      </c>
      <c r="F30" s="36"/>
      <c r="G30" s="37"/>
    </row>
    <row r="31" spans="1:7" ht="14.25" customHeight="1" x14ac:dyDescent="0.35">
      <c r="A31" s="35" t="s">
        <v>216</v>
      </c>
      <c r="B31" s="36"/>
      <c r="C31" s="37"/>
      <c r="D31" s="22">
        <f>VLOOKUP(A31, Materias!A2:C180, 3, FALSE)</f>
        <v>4</v>
      </c>
      <c r="E31" s="41" t="s">
        <v>52</v>
      </c>
      <c r="F31" s="36"/>
      <c r="G31" s="37"/>
    </row>
    <row r="32" spans="1:7" ht="14.25" customHeight="1" x14ac:dyDescent="0.35">
      <c r="A32" s="35" t="s">
        <v>214</v>
      </c>
      <c r="B32" s="36"/>
      <c r="C32" s="37"/>
      <c r="D32" s="22">
        <f>VLOOKUP(A32, Materias!A2:C180, 3, FALSE)</f>
        <v>7</v>
      </c>
      <c r="E32" s="41" t="s">
        <v>218</v>
      </c>
      <c r="F32" s="36"/>
      <c r="G32" s="37"/>
    </row>
    <row r="33" spans="1:7" ht="14.25" customHeight="1" x14ac:dyDescent="0.35">
      <c r="A33" s="35" t="s">
        <v>106</v>
      </c>
      <c r="B33" s="36"/>
      <c r="C33" s="37"/>
      <c r="D33" s="22">
        <f>VLOOKUP(A33, Materias!A2:C180, 3, FALSE)</f>
        <v>4</v>
      </c>
      <c r="E33" s="41" t="s">
        <v>46</v>
      </c>
      <c r="F33" s="36"/>
      <c r="G33" s="37"/>
    </row>
    <row r="34" spans="1:7" ht="14.25" customHeight="1" x14ac:dyDescent="0.35">
      <c r="A34" s="35" t="s">
        <v>215</v>
      </c>
      <c r="B34" s="36"/>
      <c r="C34" s="37"/>
      <c r="D34" s="22">
        <f>VLOOKUP(A34, Materias!A2:C180, 3, FALSE)</f>
        <v>3</v>
      </c>
      <c r="E34" s="41" t="s">
        <v>219</v>
      </c>
      <c r="F34" s="36"/>
      <c r="G34" s="37"/>
    </row>
    <row r="35" spans="1:7" ht="14.25" customHeight="1" x14ac:dyDescent="0.35">
      <c r="A35" s="38" t="s">
        <v>55</v>
      </c>
      <c r="B35" s="36"/>
      <c r="C35" s="37"/>
      <c r="D35" s="21">
        <f>SUM(D30:D34)</f>
        <v>24</v>
      </c>
      <c r="E35" s="51"/>
      <c r="F35" s="36"/>
      <c r="G35" s="37"/>
    </row>
    <row r="36" spans="1:7" ht="14.25" customHeight="1" x14ac:dyDescent="0.35">
      <c r="A36" s="23"/>
      <c r="B36" s="23"/>
      <c r="C36" s="23"/>
      <c r="D36" s="24"/>
      <c r="E36" s="25"/>
      <c r="F36" s="25"/>
      <c r="G36" s="25"/>
    </row>
    <row r="37" spans="1:7" ht="15" customHeight="1" x14ac:dyDescent="0.35">
      <c r="A37" s="52" t="s">
        <v>180</v>
      </c>
      <c r="B37" s="30"/>
      <c r="C37" s="30"/>
      <c r="D37" s="30"/>
      <c r="E37" s="30"/>
      <c r="F37" s="30"/>
      <c r="G37" s="30"/>
    </row>
    <row r="38" spans="1:7" ht="14.25" customHeight="1" x14ac:dyDescent="0.35">
      <c r="A38" s="50" t="s">
        <v>57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11"/>
      <c r="B39" s="11"/>
      <c r="C39" s="11"/>
      <c r="D39" s="11"/>
      <c r="E39" s="11"/>
      <c r="F39" s="8"/>
      <c r="G39" s="8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/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6">
    <mergeCell ref="E35:G35"/>
    <mergeCell ref="A37:G37"/>
    <mergeCell ref="A38:G38"/>
    <mergeCell ref="A32:C32"/>
    <mergeCell ref="E32:G32"/>
    <mergeCell ref="A33:C33"/>
    <mergeCell ref="E33:G33"/>
    <mergeCell ref="A34:C34"/>
    <mergeCell ref="E34:G34"/>
    <mergeCell ref="A35:C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6" xr:uid="{00000000-0002-0000-1C00-000003000000}">
      <formula1>#REF!</formula1>
    </dataValidation>
  </dataValidations>
  <printOptions horizontalCentered="1"/>
  <pageMargins left="0.25" right="0.25" top="0.75" bottom="0.75" header="0" footer="0"/>
  <pageSetup scale="7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1C00-000000000000}">
          <x14:formula1>
            <xm:f>Materias!$A$68:$A$72</xm:f>
          </x14:formula1>
          <xm:sqref>B13:G27</xm:sqref>
        </x14:dataValidation>
        <x14:dataValidation type="list" allowBlank="1" showErrorMessage="1" xr:uid="{00000000-0002-0000-1C00-000001000000}">
          <x14:formula1>
            <xm:f>Materias!$A$68:$A$72</xm:f>
          </x14:formula1>
          <xm:sqref>A30:A34</xm:sqref>
        </x14:dataValidation>
        <x14:dataValidation type="list" allowBlank="1" xr:uid="{00000000-0002-0000-1C00-000002000000}">
          <x14:formula1>
            <xm:f>Docentes!$B$2:$B$208</xm:f>
          </x14:formula1>
          <xm:sqref>E30:E34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>
    <tabColor rgb="FFDE20DE"/>
    <pageSetUpPr fitToPage="1"/>
  </sheetPr>
  <dimension ref="A1:G1000"/>
  <sheetViews>
    <sheetView view="pageBreakPreview" topLeftCell="A17" zoomScale="60" zoomScaleNormal="50" workbookViewId="0">
      <selection activeCell="B22" sqref="B22:E22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203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222</v>
      </c>
      <c r="F8" s="30"/>
      <c r="G8" s="30"/>
    </row>
    <row r="9" spans="1:7" ht="14.25" customHeight="1" x14ac:dyDescent="0.35">
      <c r="A9" s="39" t="s">
        <v>7</v>
      </c>
      <c r="B9" s="40"/>
      <c r="C9" s="53" t="s">
        <v>476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53" x14ac:dyDescent="0.35">
      <c r="A13" s="18" t="s">
        <v>16</v>
      </c>
      <c r="B13" s="16"/>
      <c r="C13" s="16"/>
      <c r="D13" s="16"/>
      <c r="E13" s="16"/>
      <c r="F13" s="16"/>
      <c r="G13" s="16" t="s">
        <v>536</v>
      </c>
    </row>
    <row r="14" spans="1:7" ht="53" x14ac:dyDescent="0.35">
      <c r="A14" s="18" t="s">
        <v>20</v>
      </c>
      <c r="B14" s="16"/>
      <c r="C14" s="16"/>
      <c r="D14" s="16"/>
      <c r="E14" s="16"/>
      <c r="F14" s="16"/>
      <c r="G14" s="16" t="s">
        <v>536</v>
      </c>
    </row>
    <row r="15" spans="1:7" ht="53" x14ac:dyDescent="0.35">
      <c r="A15" s="18" t="s">
        <v>21</v>
      </c>
      <c r="B15" s="16"/>
      <c r="C15" s="16"/>
      <c r="D15" s="16"/>
      <c r="E15" s="16"/>
      <c r="F15" s="16"/>
      <c r="G15" s="16" t="s">
        <v>536</v>
      </c>
    </row>
    <row r="16" spans="1:7" ht="53" x14ac:dyDescent="0.35">
      <c r="A16" s="18" t="s">
        <v>24</v>
      </c>
      <c r="B16" s="16"/>
      <c r="C16" s="16"/>
      <c r="D16" s="16"/>
      <c r="E16" s="16"/>
      <c r="F16" s="16"/>
      <c r="G16" s="16" t="s">
        <v>537</v>
      </c>
    </row>
    <row r="17" spans="1:7" ht="53" x14ac:dyDescent="0.35">
      <c r="A17" s="18" t="s">
        <v>26</v>
      </c>
      <c r="B17" s="16"/>
      <c r="C17" s="16"/>
      <c r="D17" s="16"/>
      <c r="E17" s="16"/>
      <c r="F17" s="16"/>
      <c r="G17" s="16" t="s">
        <v>537</v>
      </c>
    </row>
    <row r="18" spans="1:7" ht="31" x14ac:dyDescent="0.35">
      <c r="A18" s="18" t="s">
        <v>29</v>
      </c>
      <c r="B18" s="16"/>
      <c r="C18" s="16"/>
      <c r="D18" s="16"/>
      <c r="E18" s="16"/>
      <c r="F18" s="16"/>
      <c r="G18" s="13" t="s">
        <v>106</v>
      </c>
    </row>
    <row r="19" spans="1:7" ht="31" x14ac:dyDescent="0.35">
      <c r="A19" s="18" t="s">
        <v>31</v>
      </c>
      <c r="B19" s="16"/>
      <c r="C19" s="16"/>
      <c r="D19" s="16"/>
      <c r="E19" s="16"/>
      <c r="F19" s="16"/>
      <c r="G19" s="13" t="s">
        <v>106</v>
      </c>
    </row>
    <row r="20" spans="1:7" ht="31" x14ac:dyDescent="0.35">
      <c r="A20" s="18" t="s">
        <v>32</v>
      </c>
      <c r="B20" s="16"/>
      <c r="C20" s="16"/>
      <c r="D20" s="16"/>
      <c r="E20" s="16"/>
      <c r="F20" s="16"/>
      <c r="G20" s="16"/>
    </row>
    <row r="21" spans="1:7" ht="53" x14ac:dyDescent="0.35">
      <c r="A21" s="18" t="s">
        <v>33</v>
      </c>
      <c r="B21" s="16"/>
      <c r="C21" s="16"/>
      <c r="D21" s="16"/>
      <c r="E21" s="16"/>
      <c r="F21" s="16" t="s">
        <v>534</v>
      </c>
      <c r="G21" s="16"/>
    </row>
    <row r="22" spans="1:7" ht="53" x14ac:dyDescent="0.35">
      <c r="A22" s="18" t="s">
        <v>34</v>
      </c>
      <c r="B22" s="16"/>
      <c r="C22" s="16"/>
      <c r="D22" s="16"/>
      <c r="E22" s="16"/>
      <c r="F22" s="16" t="s">
        <v>534</v>
      </c>
      <c r="G22" s="16"/>
    </row>
    <row r="23" spans="1:7" ht="53" x14ac:dyDescent="0.35">
      <c r="A23" s="18" t="s">
        <v>35</v>
      </c>
      <c r="B23" s="16"/>
      <c r="C23" s="16"/>
      <c r="D23" s="16"/>
      <c r="E23" s="16"/>
      <c r="F23" s="16" t="s">
        <v>534</v>
      </c>
      <c r="G23" s="16"/>
    </row>
    <row r="24" spans="1:7" ht="53" x14ac:dyDescent="0.35">
      <c r="A24" s="18" t="s">
        <v>36</v>
      </c>
      <c r="B24" s="16" t="s">
        <v>223</v>
      </c>
      <c r="C24" s="26" t="s">
        <v>461</v>
      </c>
      <c r="D24" s="16" t="s">
        <v>224</v>
      </c>
      <c r="E24" s="16"/>
      <c r="F24" s="16" t="s">
        <v>535</v>
      </c>
      <c r="G24" s="16"/>
    </row>
    <row r="25" spans="1:7" ht="53" x14ac:dyDescent="0.35">
      <c r="A25" s="18" t="s">
        <v>37</v>
      </c>
      <c r="B25" s="16" t="s">
        <v>225</v>
      </c>
      <c r="C25" s="26" t="s">
        <v>461</v>
      </c>
      <c r="D25" s="16" t="s">
        <v>549</v>
      </c>
      <c r="E25" s="16"/>
      <c r="F25" s="16" t="s">
        <v>535</v>
      </c>
      <c r="G25" s="16"/>
    </row>
    <row r="26" spans="1:7" ht="53" x14ac:dyDescent="0.35">
      <c r="A26" s="18" t="s">
        <v>38</v>
      </c>
      <c r="B26" s="16" t="s">
        <v>226</v>
      </c>
      <c r="C26" s="16" t="s">
        <v>231</v>
      </c>
      <c r="D26" s="16" t="s">
        <v>227</v>
      </c>
      <c r="E26" s="16"/>
      <c r="F26" s="16"/>
      <c r="G26" s="16"/>
    </row>
    <row r="27" spans="1:7" ht="35.5" x14ac:dyDescent="0.35">
      <c r="A27" s="19" t="s">
        <v>39</v>
      </c>
      <c r="B27" s="16" t="s">
        <v>228</v>
      </c>
      <c r="C27" s="16" t="s">
        <v>229</v>
      </c>
      <c r="D27" s="16" t="s">
        <v>230</v>
      </c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217</v>
      </c>
      <c r="B30" s="36"/>
      <c r="C30" s="37"/>
      <c r="D30" s="22">
        <f>VLOOKUP(A30, Materias!A2:C180, 3, FALSE)</f>
        <v>6</v>
      </c>
      <c r="E30" s="41" t="s">
        <v>190</v>
      </c>
      <c r="F30" s="36"/>
      <c r="G30" s="37"/>
    </row>
    <row r="31" spans="1:7" ht="14.25" customHeight="1" x14ac:dyDescent="0.35">
      <c r="A31" s="35" t="s">
        <v>216</v>
      </c>
      <c r="B31" s="36"/>
      <c r="C31" s="37"/>
      <c r="D31" s="22">
        <f>VLOOKUP(A31, Materias!A2:C180, 3, FALSE)</f>
        <v>4</v>
      </c>
      <c r="E31" s="41" t="s">
        <v>52</v>
      </c>
      <c r="F31" s="36"/>
      <c r="G31" s="37"/>
    </row>
    <row r="32" spans="1:7" ht="14.25" customHeight="1" x14ac:dyDescent="0.35">
      <c r="A32" s="35" t="s">
        <v>214</v>
      </c>
      <c r="B32" s="36"/>
      <c r="C32" s="37"/>
      <c r="D32" s="22">
        <f>VLOOKUP(A32, Materias!A2:C180, 3, FALSE)</f>
        <v>7</v>
      </c>
      <c r="E32" s="54" t="s">
        <v>199</v>
      </c>
      <c r="F32" s="36"/>
      <c r="G32" s="37"/>
    </row>
    <row r="33" spans="1:7" ht="14.25" customHeight="1" x14ac:dyDescent="0.35">
      <c r="A33" s="35" t="s">
        <v>106</v>
      </c>
      <c r="B33" s="36"/>
      <c r="C33" s="37"/>
      <c r="D33" s="22">
        <f>VLOOKUP(A33, Materias!A2:C180, 3, FALSE)</f>
        <v>4</v>
      </c>
      <c r="E33" s="41" t="s">
        <v>46</v>
      </c>
      <c r="F33" s="36"/>
      <c r="G33" s="37"/>
    </row>
    <row r="34" spans="1:7" ht="14.25" customHeight="1" x14ac:dyDescent="0.35">
      <c r="A34" s="35" t="s">
        <v>215</v>
      </c>
      <c r="B34" s="36"/>
      <c r="C34" s="37"/>
      <c r="D34" s="22">
        <f>VLOOKUP(A34, Materias!A2:C180, 3, FALSE)</f>
        <v>3</v>
      </c>
      <c r="E34" s="41" t="s">
        <v>104</v>
      </c>
      <c r="F34" s="36"/>
      <c r="G34" s="37"/>
    </row>
    <row r="35" spans="1:7" ht="14.25" customHeight="1" x14ac:dyDescent="0.35">
      <c r="A35" s="38" t="s">
        <v>55</v>
      </c>
      <c r="B35" s="36"/>
      <c r="C35" s="37"/>
      <c r="D35" s="21">
        <f>SUM(D30:D34)</f>
        <v>24</v>
      </c>
      <c r="E35" s="51"/>
      <c r="F35" s="36"/>
      <c r="G35" s="37"/>
    </row>
    <row r="36" spans="1:7" ht="14.25" customHeight="1" x14ac:dyDescent="0.35">
      <c r="A36" s="23"/>
      <c r="B36" s="23"/>
      <c r="C36" s="23"/>
      <c r="D36" s="24"/>
      <c r="E36" s="25"/>
      <c r="F36" s="25"/>
      <c r="G36" s="25"/>
    </row>
    <row r="37" spans="1:7" ht="15" customHeight="1" x14ac:dyDescent="0.35">
      <c r="A37" s="52" t="s">
        <v>180</v>
      </c>
      <c r="B37" s="30"/>
      <c r="C37" s="30"/>
      <c r="D37" s="30"/>
      <c r="E37" s="30"/>
      <c r="F37" s="30"/>
      <c r="G37" s="30"/>
    </row>
    <row r="38" spans="1:7" ht="14.25" customHeight="1" x14ac:dyDescent="0.35">
      <c r="A38" s="50" t="s">
        <v>57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11"/>
      <c r="B39" s="11"/>
      <c r="C39" s="11"/>
      <c r="D39" s="11"/>
      <c r="E39" s="11"/>
      <c r="F39" s="8"/>
      <c r="G39" s="8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/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6">
    <mergeCell ref="E35:G35"/>
    <mergeCell ref="A37:G37"/>
    <mergeCell ref="A38:G38"/>
    <mergeCell ref="A32:C32"/>
    <mergeCell ref="E32:G32"/>
    <mergeCell ref="A33:C33"/>
    <mergeCell ref="E33:G33"/>
    <mergeCell ref="A34:C34"/>
    <mergeCell ref="E34:G34"/>
    <mergeCell ref="A35:C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6" xr:uid="{00000000-0002-0000-1D00-000003000000}">
      <formula1>#REF!</formula1>
    </dataValidation>
  </dataValidations>
  <printOptions horizontalCentered="1"/>
  <pageMargins left="0.25" right="0.25" top="0.75" bottom="0.75" header="0" footer="0"/>
  <pageSetup scale="6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1D00-000000000000}">
          <x14:formula1>
            <xm:f>Materias!$A$68:$A$72</xm:f>
          </x14:formula1>
          <xm:sqref>B13:G27</xm:sqref>
        </x14:dataValidation>
        <x14:dataValidation type="list" allowBlank="1" showErrorMessage="1" xr:uid="{00000000-0002-0000-1D00-000001000000}">
          <x14:formula1>
            <xm:f>Materias!$A$68:$A$72</xm:f>
          </x14:formula1>
          <xm:sqref>A30:A34</xm:sqref>
        </x14:dataValidation>
        <x14:dataValidation type="list" allowBlank="1" xr:uid="{00000000-0002-0000-1D00-000002000000}">
          <x14:formula1>
            <xm:f>Docentes!$B$2:$B$208</xm:f>
          </x14:formula1>
          <xm:sqref>E30:E34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>
    <tabColor rgb="FFDE20DE"/>
    <pageSetUpPr fitToPage="1"/>
  </sheetPr>
  <dimension ref="A1:G1000"/>
  <sheetViews>
    <sheetView view="pageBreakPreview" topLeftCell="A15" zoomScale="60" zoomScaleNormal="50" workbookViewId="0">
      <selection activeCell="D25" sqref="D25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203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34" t="s">
        <v>5</v>
      </c>
      <c r="B8" s="30"/>
      <c r="C8" s="30"/>
      <c r="D8" s="30"/>
      <c r="E8" s="32" t="s">
        <v>232</v>
      </c>
      <c r="F8" s="30"/>
      <c r="G8" s="30"/>
    </row>
    <row r="9" spans="1:7" ht="14.25" customHeight="1" x14ac:dyDescent="0.35">
      <c r="A9" s="39" t="s">
        <v>7</v>
      </c>
      <c r="B9" s="40"/>
      <c r="C9" s="42" t="s">
        <v>465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31" x14ac:dyDescent="0.35">
      <c r="A18" s="18" t="s">
        <v>29</v>
      </c>
      <c r="B18" s="16"/>
      <c r="C18" s="16"/>
      <c r="D18" s="16"/>
      <c r="E18" s="16"/>
      <c r="F18" s="16"/>
      <c r="G18" s="16"/>
    </row>
    <row r="19" spans="1:7" ht="31" x14ac:dyDescent="0.35">
      <c r="A19" s="18" t="s">
        <v>31</v>
      </c>
      <c r="B19" s="16"/>
      <c r="C19" s="16"/>
      <c r="D19" s="16"/>
      <c r="E19" s="16"/>
      <c r="F19" s="16"/>
      <c r="G19" s="16"/>
    </row>
    <row r="20" spans="1:7" ht="70.5" x14ac:dyDescent="0.35">
      <c r="A20" s="18" t="s">
        <v>32</v>
      </c>
      <c r="B20" s="16" t="s">
        <v>540</v>
      </c>
      <c r="C20" s="16" t="s">
        <v>625</v>
      </c>
      <c r="D20" s="16" t="s">
        <v>540</v>
      </c>
      <c r="E20" s="16" t="s">
        <v>622</v>
      </c>
      <c r="F20" s="16" t="s">
        <v>540</v>
      </c>
      <c r="G20" s="16"/>
    </row>
    <row r="21" spans="1:7" ht="70.5" x14ac:dyDescent="0.35">
      <c r="A21" s="18" t="s">
        <v>33</v>
      </c>
      <c r="B21" s="16" t="s">
        <v>540</v>
      </c>
      <c r="C21" s="16" t="s">
        <v>625</v>
      </c>
      <c r="D21" s="16" t="s">
        <v>540</v>
      </c>
      <c r="E21" s="16" t="s">
        <v>622</v>
      </c>
      <c r="F21" s="16" t="s">
        <v>540</v>
      </c>
      <c r="G21" s="16"/>
    </row>
    <row r="22" spans="1:7" ht="53" x14ac:dyDescent="0.35">
      <c r="A22" s="18" t="s">
        <v>34</v>
      </c>
      <c r="B22" s="13" t="s">
        <v>236</v>
      </c>
      <c r="C22" s="13" t="s">
        <v>236</v>
      </c>
      <c r="D22" s="13" t="s">
        <v>236</v>
      </c>
      <c r="E22" s="13" t="s">
        <v>236</v>
      </c>
      <c r="F22" s="16" t="s">
        <v>623</v>
      </c>
      <c r="G22" s="16"/>
    </row>
    <row r="23" spans="1:7" ht="70.5" x14ac:dyDescent="0.35">
      <c r="A23" s="18" t="s">
        <v>35</v>
      </c>
      <c r="B23" s="16" t="s">
        <v>624</v>
      </c>
      <c r="C23" s="16" t="s">
        <v>626</v>
      </c>
      <c r="D23" s="16" t="s">
        <v>622</v>
      </c>
      <c r="E23" s="16"/>
      <c r="F23" s="16" t="s">
        <v>623</v>
      </c>
      <c r="G23" s="16"/>
    </row>
    <row r="24" spans="1:7" ht="70.5" x14ac:dyDescent="0.35">
      <c r="A24" s="18" t="s">
        <v>36</v>
      </c>
      <c r="B24" s="16" t="s">
        <v>624</v>
      </c>
      <c r="C24" s="16" t="s">
        <v>626</v>
      </c>
      <c r="D24" s="16" t="s">
        <v>622</v>
      </c>
      <c r="E24" s="16"/>
      <c r="F24" s="16" t="s">
        <v>623</v>
      </c>
      <c r="G24" s="16"/>
    </row>
    <row r="25" spans="1:7" ht="70.5" x14ac:dyDescent="0.35">
      <c r="A25" s="18" t="s">
        <v>37</v>
      </c>
      <c r="B25" s="16" t="s">
        <v>622</v>
      </c>
      <c r="C25" s="16"/>
      <c r="D25" s="16"/>
      <c r="E25" s="16"/>
      <c r="F25" s="16"/>
      <c r="G25" s="16"/>
    </row>
    <row r="26" spans="1:7" ht="70.5" x14ac:dyDescent="0.35">
      <c r="A26" s="18" t="s">
        <v>38</v>
      </c>
      <c r="B26" s="16" t="s">
        <v>622</v>
      </c>
      <c r="C26" s="16"/>
      <c r="D26" s="16"/>
      <c r="E26" s="16"/>
      <c r="F26" s="16"/>
      <c r="G26" s="16"/>
    </row>
    <row r="27" spans="1:7" ht="31" x14ac:dyDescent="0.35">
      <c r="A27" s="19" t="s">
        <v>39</v>
      </c>
      <c r="B27" s="16"/>
      <c r="C27" s="16"/>
      <c r="D27" s="16"/>
      <c r="E27" s="16"/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235</v>
      </c>
      <c r="B30" s="36"/>
      <c r="C30" s="37"/>
      <c r="D30" s="22">
        <f>VLOOKUP(A30, Materias!A2:C180, 3, FALSE)</f>
        <v>6</v>
      </c>
      <c r="E30" s="41" t="s">
        <v>151</v>
      </c>
      <c r="F30" s="36"/>
      <c r="G30" s="37"/>
    </row>
    <row r="31" spans="1:7" ht="14.25" customHeight="1" x14ac:dyDescent="0.35">
      <c r="A31" s="35" t="s">
        <v>234</v>
      </c>
      <c r="B31" s="36"/>
      <c r="C31" s="37"/>
      <c r="D31" s="22">
        <f>VLOOKUP(A31, Materias!A2:C180, 3, FALSE)</f>
        <v>4</v>
      </c>
      <c r="E31" s="41" t="s">
        <v>159</v>
      </c>
      <c r="F31" s="36"/>
      <c r="G31" s="37"/>
    </row>
    <row r="32" spans="1:7" ht="14.25" customHeight="1" x14ac:dyDescent="0.35">
      <c r="A32" s="35" t="s">
        <v>237</v>
      </c>
      <c r="B32" s="36"/>
      <c r="C32" s="37"/>
      <c r="D32" s="22">
        <f>VLOOKUP(A32, Materias!A2:C180, 3, FALSE)</f>
        <v>3</v>
      </c>
      <c r="E32" s="41" t="s">
        <v>153</v>
      </c>
      <c r="F32" s="36"/>
      <c r="G32" s="37"/>
    </row>
    <row r="33" spans="1:7" ht="14.25" customHeight="1" x14ac:dyDescent="0.35">
      <c r="A33" s="35" t="s">
        <v>233</v>
      </c>
      <c r="B33" s="36"/>
      <c r="C33" s="37"/>
      <c r="D33" s="22">
        <f>VLOOKUP(A33, Materias!A2:C180, 3, FALSE)</f>
        <v>6</v>
      </c>
      <c r="E33" s="41" t="s">
        <v>202</v>
      </c>
      <c r="F33" s="36"/>
      <c r="G33" s="37"/>
    </row>
    <row r="34" spans="1:7" ht="14.25" customHeight="1" x14ac:dyDescent="0.35">
      <c r="A34" s="35" t="s">
        <v>236</v>
      </c>
      <c r="B34" s="36"/>
      <c r="C34" s="37"/>
      <c r="D34" s="22">
        <f>VLOOKUP(A34, Materias!A3:C181,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238</v>
      </c>
      <c r="B35" s="36"/>
      <c r="C35" s="37"/>
      <c r="D35" s="22">
        <f>VLOOKUP(A35, Materias!A4:C182, 3, FALSE)</f>
        <v>2</v>
      </c>
      <c r="E35" s="41" t="s">
        <v>159</v>
      </c>
      <c r="F35" s="36"/>
      <c r="G35" s="37"/>
    </row>
    <row r="36" spans="1:7" ht="14.25" customHeight="1" x14ac:dyDescent="0.35">
      <c r="A36" s="38" t="s">
        <v>55</v>
      </c>
      <c r="B36" s="36"/>
      <c r="C36" s="37"/>
      <c r="D36" s="21">
        <f>SUM(D30:D35)</f>
        <v>25</v>
      </c>
      <c r="E36" s="51"/>
      <c r="F36" s="36"/>
      <c r="G36" s="37"/>
    </row>
    <row r="37" spans="1:7" ht="14.25" customHeight="1" x14ac:dyDescent="0.35">
      <c r="A37" s="23"/>
      <c r="B37" s="23"/>
      <c r="C37" s="23"/>
      <c r="D37" s="24"/>
      <c r="E37" s="25"/>
      <c r="F37" s="25"/>
      <c r="G37" s="25"/>
    </row>
    <row r="38" spans="1:7" ht="15" customHeight="1" x14ac:dyDescent="0.35">
      <c r="A38" s="52" t="s">
        <v>180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50" t="s">
        <v>57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8">
    <mergeCell ref="A32:C32"/>
    <mergeCell ref="E32:G32"/>
    <mergeCell ref="A33:C33"/>
    <mergeCell ref="E33:G33"/>
    <mergeCell ref="A34:C34"/>
    <mergeCell ref="E34:G34"/>
    <mergeCell ref="A35:C35"/>
    <mergeCell ref="A36:C36"/>
    <mergeCell ref="E36:G36"/>
    <mergeCell ref="A38:G38"/>
    <mergeCell ref="A39:G39"/>
    <mergeCell ref="E35:G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7" xr:uid="{00000000-0002-0000-1E00-000002000000}">
      <formula1>#REF!</formula1>
    </dataValidation>
  </dataValidations>
  <printOptions horizontalCentered="1"/>
  <pageMargins left="0.25" right="0.25" top="0.75" bottom="0.75" header="0" footer="0"/>
  <pageSetup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E00-000000000000}">
          <x14:formula1>
            <xm:f>Materias!$A$73:$A$78</xm:f>
          </x14:formula1>
          <xm:sqref>A30:A35</xm:sqref>
        </x14:dataValidation>
        <x14:dataValidation type="list" allowBlank="1" xr:uid="{00000000-0002-0000-1E00-000001000000}">
          <x14:formula1>
            <xm:f>Docentes!$B$2:$B$208</xm:f>
          </x14:formula1>
          <xm:sqref>E30:E35</xm:sqref>
        </x14:dataValidation>
        <x14:dataValidation type="list" allowBlank="1" xr:uid="{00000000-0002-0000-1E00-000003000000}">
          <x14:formula1>
            <xm:f>Materias!$A$73:$A$78</xm:f>
          </x14:formula1>
          <xm:sqref>B13:G27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2">
    <tabColor rgb="FFDE20DE"/>
    <pageSetUpPr fitToPage="1"/>
  </sheetPr>
  <dimension ref="A1:G1000"/>
  <sheetViews>
    <sheetView view="pageBreakPreview" topLeftCell="A15" zoomScale="60" zoomScaleNormal="50" workbookViewId="0">
      <selection activeCell="D25" sqref="D25"/>
    </sheetView>
  </sheetViews>
  <sheetFormatPr baseColWidth="10" defaultColWidth="14.453125" defaultRowHeight="15" customHeight="1" x14ac:dyDescent="0.35"/>
  <cols>
    <col min="1" max="1" width="10.54296875" customWidth="1"/>
    <col min="2" max="7" width="20.54296875" customWidth="1"/>
    <col min="8" max="26" width="10.90625" customWidth="1"/>
  </cols>
  <sheetData>
    <row r="1" spans="1:7" ht="14.25" customHeight="1" x14ac:dyDescent="0.35"/>
    <row r="2" spans="1:7" ht="14.25" customHeight="1" x14ac:dyDescent="0.35"/>
    <row r="3" spans="1:7" ht="14.25" customHeight="1" x14ac:dyDescent="0.4">
      <c r="A3" s="29" t="s">
        <v>1</v>
      </c>
      <c r="B3" s="30"/>
      <c r="C3" s="30"/>
      <c r="D3" s="30"/>
      <c r="E3" s="30"/>
      <c r="F3" s="30"/>
      <c r="G3" s="30"/>
    </row>
    <row r="4" spans="1:7" ht="14.25" customHeight="1" x14ac:dyDescent="0.4">
      <c r="A4" s="2"/>
      <c r="B4" s="2"/>
      <c r="C4" s="2"/>
      <c r="D4" s="2"/>
      <c r="E4" s="3"/>
      <c r="F4" s="3"/>
      <c r="G4" s="2"/>
    </row>
    <row r="5" spans="1:7" ht="14.25" customHeight="1" x14ac:dyDescent="0.35">
      <c r="A5" s="31" t="s">
        <v>2</v>
      </c>
      <c r="B5" s="30"/>
      <c r="C5" s="30"/>
      <c r="D5" s="30"/>
      <c r="E5" s="30"/>
      <c r="F5" s="30"/>
      <c r="G5" s="30"/>
    </row>
    <row r="6" spans="1:7" ht="14.25" customHeight="1" x14ac:dyDescent="0.35">
      <c r="A6" s="32" t="s">
        <v>203</v>
      </c>
      <c r="B6" s="30"/>
      <c r="C6" s="30"/>
      <c r="D6" s="30"/>
      <c r="E6" s="30"/>
      <c r="F6" s="30"/>
      <c r="G6" s="30"/>
    </row>
    <row r="7" spans="1:7" ht="14.25" customHeight="1" x14ac:dyDescent="0.35">
      <c r="A7" s="33" t="s">
        <v>4</v>
      </c>
      <c r="B7" s="30"/>
      <c r="C7" s="30"/>
      <c r="D7" s="30"/>
      <c r="E7" s="30"/>
      <c r="F7" s="30"/>
      <c r="G7" s="30"/>
    </row>
    <row r="8" spans="1:7" ht="14.25" customHeight="1" x14ac:dyDescent="0.35">
      <c r="A8" s="55" t="s">
        <v>5</v>
      </c>
      <c r="B8" s="30"/>
      <c r="C8" s="30"/>
      <c r="D8" s="30"/>
      <c r="E8" s="32" t="s">
        <v>239</v>
      </c>
      <c r="F8" s="30"/>
      <c r="G8" s="30"/>
    </row>
    <row r="9" spans="1:7" ht="14.25" customHeight="1" x14ac:dyDescent="0.35">
      <c r="A9" s="56" t="s">
        <v>7</v>
      </c>
      <c r="B9" s="40"/>
      <c r="C9" s="42" t="s">
        <v>465</v>
      </c>
      <c r="D9" s="40"/>
      <c r="E9" s="40"/>
      <c r="F9" s="40"/>
      <c r="G9" s="43"/>
    </row>
    <row r="10" spans="1:7" ht="14.25" customHeight="1" x14ac:dyDescent="0.35">
      <c r="A10" s="44"/>
      <c r="B10" s="45"/>
      <c r="C10" s="45"/>
      <c r="D10" s="45"/>
      <c r="E10" s="45"/>
      <c r="F10" s="45"/>
      <c r="G10" s="46"/>
    </row>
    <row r="11" spans="1:7" ht="14.25" customHeight="1" x14ac:dyDescent="0.35">
      <c r="A11" s="8"/>
      <c r="B11" s="9"/>
      <c r="C11" s="9"/>
      <c r="D11" s="9"/>
      <c r="E11" s="9"/>
      <c r="F11" s="9"/>
      <c r="G11" s="10"/>
    </row>
    <row r="12" spans="1:7" ht="14.25" customHeight="1" x14ac:dyDescent="0.35">
      <c r="A12" s="17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7" t="s">
        <v>15</v>
      </c>
    </row>
    <row r="13" spans="1:7" ht="31" x14ac:dyDescent="0.35">
      <c r="A13" s="18" t="s">
        <v>16</v>
      </c>
      <c r="B13" s="16"/>
      <c r="C13" s="16"/>
      <c r="D13" s="16"/>
      <c r="E13" s="16"/>
      <c r="F13" s="16"/>
      <c r="G13" s="16"/>
    </row>
    <row r="14" spans="1:7" ht="31" x14ac:dyDescent="0.35">
      <c r="A14" s="18" t="s">
        <v>20</v>
      </c>
      <c r="B14" s="16"/>
      <c r="C14" s="16"/>
      <c r="D14" s="16"/>
      <c r="E14" s="16"/>
      <c r="F14" s="16"/>
      <c r="G14" s="16"/>
    </row>
    <row r="15" spans="1:7" ht="31" x14ac:dyDescent="0.35">
      <c r="A15" s="18" t="s">
        <v>21</v>
      </c>
      <c r="B15" s="16"/>
      <c r="C15" s="16"/>
      <c r="D15" s="16"/>
      <c r="E15" s="16"/>
      <c r="F15" s="16"/>
      <c r="G15" s="16"/>
    </row>
    <row r="16" spans="1:7" ht="31" x14ac:dyDescent="0.35">
      <c r="A16" s="18" t="s">
        <v>24</v>
      </c>
      <c r="B16" s="16"/>
      <c r="C16" s="16"/>
      <c r="D16" s="16"/>
      <c r="E16" s="16"/>
      <c r="F16" s="16"/>
      <c r="G16" s="16"/>
    </row>
    <row r="17" spans="1:7" ht="31" x14ac:dyDescent="0.35">
      <c r="A17" s="18" t="s">
        <v>26</v>
      </c>
      <c r="B17" s="16"/>
      <c r="C17" s="16"/>
      <c r="D17" s="16"/>
      <c r="E17" s="16"/>
      <c r="F17" s="16"/>
      <c r="G17" s="16"/>
    </row>
    <row r="18" spans="1:7" ht="31" x14ac:dyDescent="0.35">
      <c r="A18" s="18" t="s">
        <v>29</v>
      </c>
      <c r="B18" s="16"/>
      <c r="C18" s="16"/>
      <c r="D18" s="16"/>
      <c r="E18" s="16"/>
      <c r="F18" s="16"/>
      <c r="G18" s="16"/>
    </row>
    <row r="19" spans="1:7" ht="35.5" x14ac:dyDescent="0.35">
      <c r="A19" s="18" t="s">
        <v>31</v>
      </c>
      <c r="B19" s="16"/>
      <c r="C19" s="16" t="s">
        <v>630</v>
      </c>
      <c r="D19" s="16"/>
      <c r="E19" s="16" t="s">
        <v>630</v>
      </c>
      <c r="F19" s="16"/>
      <c r="G19" s="16"/>
    </row>
    <row r="20" spans="1:7" ht="53" x14ac:dyDescent="0.35">
      <c r="A20" s="18" t="s">
        <v>32</v>
      </c>
      <c r="B20" s="16"/>
      <c r="C20" s="16" t="s">
        <v>627</v>
      </c>
      <c r="D20" s="16" t="s">
        <v>627</v>
      </c>
      <c r="E20" s="16" t="s">
        <v>628</v>
      </c>
      <c r="F20" s="16"/>
      <c r="G20" s="16"/>
    </row>
    <row r="21" spans="1:7" ht="53" x14ac:dyDescent="0.35">
      <c r="A21" s="18" t="s">
        <v>33</v>
      </c>
      <c r="B21" s="16"/>
      <c r="C21" s="16" t="s">
        <v>627</v>
      </c>
      <c r="D21" s="16" t="s">
        <v>627</v>
      </c>
      <c r="E21" s="16" t="s">
        <v>628</v>
      </c>
      <c r="F21" s="16"/>
      <c r="G21" s="16"/>
    </row>
    <row r="22" spans="1:7" ht="31" x14ac:dyDescent="0.35">
      <c r="A22" s="18" t="s">
        <v>34</v>
      </c>
      <c r="B22" s="13" t="s">
        <v>242</v>
      </c>
      <c r="C22" s="13" t="s">
        <v>242</v>
      </c>
      <c r="D22" s="13" t="s">
        <v>242</v>
      </c>
      <c r="E22" s="13" t="s">
        <v>242</v>
      </c>
      <c r="F22" s="16"/>
      <c r="G22" s="16"/>
    </row>
    <row r="23" spans="1:7" ht="53" x14ac:dyDescent="0.35">
      <c r="A23" s="18" t="s">
        <v>35</v>
      </c>
      <c r="B23" s="16" t="s">
        <v>628</v>
      </c>
      <c r="C23" s="16" t="s">
        <v>538</v>
      </c>
      <c r="D23" s="16" t="s">
        <v>628</v>
      </c>
      <c r="E23" s="16" t="s">
        <v>538</v>
      </c>
      <c r="F23" s="16"/>
      <c r="G23" s="16"/>
    </row>
    <row r="24" spans="1:7" ht="53" x14ac:dyDescent="0.35">
      <c r="A24" s="18" t="s">
        <v>36</v>
      </c>
      <c r="B24" s="16" t="s">
        <v>628</v>
      </c>
      <c r="C24" s="16" t="s">
        <v>538</v>
      </c>
      <c r="D24" s="16" t="s">
        <v>628</v>
      </c>
      <c r="E24" s="16" t="s">
        <v>538</v>
      </c>
      <c r="F24" s="16"/>
      <c r="G24" s="16"/>
    </row>
    <row r="25" spans="1:7" ht="53" x14ac:dyDescent="0.35">
      <c r="A25" s="18" t="s">
        <v>37</v>
      </c>
      <c r="B25" s="16" t="s">
        <v>538</v>
      </c>
      <c r="C25" s="16" t="s">
        <v>538</v>
      </c>
      <c r="D25" s="16" t="s">
        <v>628</v>
      </c>
      <c r="E25" s="16" t="s">
        <v>538</v>
      </c>
      <c r="F25" s="16"/>
      <c r="G25" s="16"/>
    </row>
    <row r="26" spans="1:7" ht="53" x14ac:dyDescent="0.35">
      <c r="A26" s="18" t="s">
        <v>38</v>
      </c>
      <c r="B26" s="16"/>
      <c r="C26" s="16"/>
      <c r="D26" s="16"/>
      <c r="E26" s="16" t="s">
        <v>629</v>
      </c>
      <c r="F26" s="16"/>
      <c r="G26" s="16"/>
    </row>
    <row r="27" spans="1:7" ht="53" x14ac:dyDescent="0.35">
      <c r="A27" s="19" t="s">
        <v>39</v>
      </c>
      <c r="B27" s="16"/>
      <c r="C27" s="16"/>
      <c r="D27" s="16"/>
      <c r="E27" s="16" t="s">
        <v>629</v>
      </c>
      <c r="F27" s="16"/>
      <c r="G27" s="16"/>
    </row>
    <row r="28" spans="1:7" ht="14.25" customHeight="1" x14ac:dyDescent="0.35">
      <c r="A28" s="47" t="s">
        <v>40</v>
      </c>
      <c r="B28" s="36"/>
      <c r="C28" s="8"/>
      <c r="D28" s="8"/>
      <c r="E28" s="8"/>
      <c r="F28" s="8"/>
      <c r="G28" s="20" t="s">
        <v>41</v>
      </c>
    </row>
    <row r="29" spans="1:7" ht="14.25" customHeight="1" x14ac:dyDescent="0.35">
      <c r="A29" s="48" t="s">
        <v>42</v>
      </c>
      <c r="B29" s="36"/>
      <c r="C29" s="37"/>
      <c r="D29" s="21" t="s">
        <v>43</v>
      </c>
      <c r="E29" s="49" t="s">
        <v>44</v>
      </c>
      <c r="F29" s="36"/>
      <c r="G29" s="37"/>
    </row>
    <row r="30" spans="1:7" ht="14.25" customHeight="1" x14ac:dyDescent="0.35">
      <c r="A30" s="35" t="s">
        <v>240</v>
      </c>
      <c r="B30" s="36"/>
      <c r="C30" s="37"/>
      <c r="D30" s="22">
        <f>VLOOKUP(A30, Materias!A2:C180, 3, FALSE)</f>
        <v>4</v>
      </c>
      <c r="E30" s="41" t="s">
        <v>157</v>
      </c>
      <c r="F30" s="36"/>
      <c r="G30" s="37"/>
    </row>
    <row r="31" spans="1:7" ht="14.25" customHeight="1" x14ac:dyDescent="0.35">
      <c r="A31" s="35" t="s">
        <v>241</v>
      </c>
      <c r="B31" s="36"/>
      <c r="C31" s="37"/>
      <c r="D31" s="22">
        <f>VLOOKUP(A31, Materias!A2:C180, 3, FALSE)</f>
        <v>7</v>
      </c>
      <c r="E31" s="41" t="s">
        <v>169</v>
      </c>
      <c r="F31" s="36"/>
      <c r="G31" s="37"/>
    </row>
    <row r="32" spans="1:7" ht="14.25" customHeight="1" x14ac:dyDescent="0.35">
      <c r="A32" s="35" t="s">
        <v>243</v>
      </c>
      <c r="B32" s="36"/>
      <c r="C32" s="37"/>
      <c r="D32" s="22">
        <f>VLOOKUP(A32, Materias!A2:C180, 3, FALSE)</f>
        <v>7</v>
      </c>
      <c r="E32" s="41" t="s">
        <v>202</v>
      </c>
      <c r="F32" s="36"/>
      <c r="G32" s="37"/>
    </row>
    <row r="33" spans="1:7" ht="14.25" customHeight="1" x14ac:dyDescent="0.35">
      <c r="A33" s="35" t="s">
        <v>189</v>
      </c>
      <c r="B33" s="36"/>
      <c r="C33" s="37"/>
      <c r="D33" s="22">
        <f>VLOOKUP(A33, Materias!A2:C180, 3, FALSE)</f>
        <v>2</v>
      </c>
      <c r="E33" s="41" t="s">
        <v>145</v>
      </c>
      <c r="F33" s="36"/>
      <c r="G33" s="37"/>
    </row>
    <row r="34" spans="1:7" ht="14.25" customHeight="1" x14ac:dyDescent="0.35">
      <c r="A34" s="35" t="s">
        <v>242</v>
      </c>
      <c r="B34" s="36"/>
      <c r="C34" s="37"/>
      <c r="D34" s="22">
        <f>VLOOKUP(A34, Materias!A3:C181, 3, FALSE)</f>
        <v>4</v>
      </c>
      <c r="E34" s="41" t="s">
        <v>46</v>
      </c>
      <c r="F34" s="36"/>
      <c r="G34" s="37"/>
    </row>
    <row r="35" spans="1:7" ht="14.25" customHeight="1" x14ac:dyDescent="0.35">
      <c r="A35" s="35" t="s">
        <v>244</v>
      </c>
      <c r="B35" s="36"/>
      <c r="C35" s="37"/>
      <c r="D35" s="22">
        <f>VLOOKUP(A35, Materias!A4:C182, 3, FALSE)</f>
        <v>2</v>
      </c>
      <c r="E35" s="41" t="s">
        <v>159</v>
      </c>
      <c r="F35" s="36"/>
      <c r="G35" s="37"/>
    </row>
    <row r="36" spans="1:7" ht="14.25" customHeight="1" x14ac:dyDescent="0.35">
      <c r="A36" s="38" t="s">
        <v>55</v>
      </c>
      <c r="B36" s="36"/>
      <c r="C36" s="37"/>
      <c r="D36" s="21">
        <f>SUM(D30:D35)</f>
        <v>26</v>
      </c>
      <c r="E36" s="51"/>
      <c r="F36" s="36"/>
      <c r="G36" s="37"/>
    </row>
    <row r="37" spans="1:7" ht="14.25" customHeight="1" x14ac:dyDescent="0.35">
      <c r="A37" s="23"/>
      <c r="B37" s="23"/>
      <c r="C37" s="23"/>
      <c r="D37" s="24"/>
      <c r="E37" s="25"/>
      <c r="F37" s="25"/>
      <c r="G37" s="25"/>
    </row>
    <row r="38" spans="1:7" ht="15" customHeight="1" x14ac:dyDescent="0.35">
      <c r="A38" s="52" t="s">
        <v>180</v>
      </c>
      <c r="B38" s="30"/>
      <c r="C38" s="30"/>
      <c r="D38" s="30"/>
      <c r="E38" s="30"/>
      <c r="F38" s="30"/>
      <c r="G38" s="30"/>
    </row>
    <row r="39" spans="1:7" ht="14.25" customHeight="1" x14ac:dyDescent="0.35">
      <c r="A39" s="50" t="s">
        <v>57</v>
      </c>
      <c r="B39" s="30"/>
      <c r="C39" s="30"/>
      <c r="D39" s="30"/>
      <c r="E39" s="30"/>
      <c r="F39" s="30"/>
      <c r="G39" s="30"/>
    </row>
    <row r="40" spans="1:7" ht="14.25" customHeight="1" x14ac:dyDescent="0.35">
      <c r="A40" s="11"/>
      <c r="B40" s="11"/>
      <c r="C40" s="11"/>
      <c r="D40" s="11"/>
      <c r="E40" s="11"/>
      <c r="F40" s="8"/>
      <c r="G40" s="8"/>
    </row>
    <row r="41" spans="1:7" ht="14.25" customHeight="1" x14ac:dyDescent="0.35">
      <c r="A41" s="11"/>
      <c r="B41" s="11"/>
      <c r="C41" s="11"/>
      <c r="D41" s="11"/>
      <c r="E41" s="11"/>
      <c r="F41" s="8"/>
      <c r="G41" s="8"/>
    </row>
    <row r="42" spans="1:7" ht="14.25" customHeight="1" x14ac:dyDescent="0.35"/>
    <row r="43" spans="1:7" ht="14.25" customHeight="1" x14ac:dyDescent="0.35"/>
    <row r="44" spans="1:7" ht="14.25" customHeight="1" x14ac:dyDescent="0.35"/>
    <row r="45" spans="1:7" ht="14.25" customHeight="1" x14ac:dyDescent="0.35"/>
    <row r="46" spans="1:7" ht="14.25" customHeight="1" x14ac:dyDescent="0.35"/>
    <row r="47" spans="1:7" ht="14.25" customHeight="1" x14ac:dyDescent="0.35"/>
    <row r="48" spans="1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8">
    <mergeCell ref="A32:C32"/>
    <mergeCell ref="E32:G32"/>
    <mergeCell ref="A33:C33"/>
    <mergeCell ref="E33:G33"/>
    <mergeCell ref="A34:C34"/>
    <mergeCell ref="E34:G34"/>
    <mergeCell ref="A35:C35"/>
    <mergeCell ref="A36:C36"/>
    <mergeCell ref="E36:G36"/>
    <mergeCell ref="A38:G38"/>
    <mergeCell ref="A39:G39"/>
    <mergeCell ref="E35:G35"/>
    <mergeCell ref="A9:B9"/>
    <mergeCell ref="E30:G30"/>
    <mergeCell ref="E31:G31"/>
    <mergeCell ref="C9:G9"/>
    <mergeCell ref="A10:G10"/>
    <mergeCell ref="A28:B28"/>
    <mergeCell ref="A29:C29"/>
    <mergeCell ref="E29:G29"/>
    <mergeCell ref="A30:C30"/>
    <mergeCell ref="A31:C31"/>
    <mergeCell ref="A3:G3"/>
    <mergeCell ref="A5:G5"/>
    <mergeCell ref="A6:G6"/>
    <mergeCell ref="A7:G7"/>
    <mergeCell ref="A8:D8"/>
    <mergeCell ref="E8:G8"/>
  </mergeCells>
  <dataValidations count="1">
    <dataValidation type="list" allowBlank="1" showErrorMessage="1" sqref="E37" xr:uid="{00000000-0002-0000-1F00-000002000000}">
      <formula1>#REF!</formula1>
    </dataValidation>
  </dataValidations>
  <printOptions horizontalCentered="1"/>
  <pageMargins left="0.25" right="0.25" top="0.75" bottom="0.75" header="0" footer="0"/>
  <pageSetup scale="7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1F00-000000000000}">
          <x14:formula1>
            <xm:f>Materias!$A$79:$A$84</xm:f>
          </x14:formula1>
          <xm:sqref>B13:G27</xm:sqref>
        </x14:dataValidation>
        <x14:dataValidation type="list" allowBlank="1" xr:uid="{00000000-0002-0000-1F00-000001000000}">
          <x14:formula1>
            <xm:f>Docentes!$B$2:$B$208</xm:f>
          </x14:formula1>
          <xm:sqref>E30:E35</xm:sqref>
        </x14:dataValidation>
        <x14:dataValidation type="list" allowBlank="1" showErrorMessage="1" xr:uid="{00000000-0002-0000-1F00-000003000000}">
          <x14:formula1>
            <xm:f>Materias!$A$79:$A$84</xm:f>
          </x14:formula1>
          <xm:sqref>A30:A35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3"/>
  <dimension ref="A1:G1000"/>
  <sheetViews>
    <sheetView topLeftCell="A28" workbookViewId="0">
      <selection activeCell="B38" sqref="B38"/>
    </sheetView>
  </sheetViews>
  <sheetFormatPr baseColWidth="10" defaultColWidth="14.453125" defaultRowHeight="15" customHeight="1" x14ac:dyDescent="0.35"/>
  <cols>
    <col min="1" max="1" width="3" customWidth="1"/>
    <col min="2" max="2" width="28.90625" customWidth="1"/>
    <col min="3" max="3" width="7" customWidth="1"/>
    <col min="4" max="4" width="8.08984375" customWidth="1"/>
    <col min="5" max="7" width="20.54296875" customWidth="1"/>
    <col min="8" max="26" width="10.90625" customWidth="1"/>
  </cols>
  <sheetData>
    <row r="1" spans="1:7" ht="14.25" customHeight="1" x14ac:dyDescent="0.35">
      <c r="A1" s="1">
        <v>1</v>
      </c>
      <c r="B1" s="4" t="s">
        <v>245</v>
      </c>
      <c r="C1" s="4" t="s">
        <v>246</v>
      </c>
      <c r="D1" s="4" t="s">
        <v>247</v>
      </c>
    </row>
    <row r="2" spans="1:7" ht="14.25" customHeight="1" x14ac:dyDescent="0.35">
      <c r="A2" s="1">
        <v>1</v>
      </c>
      <c r="B2" s="4" t="s">
        <v>48</v>
      </c>
      <c r="C2" s="4" t="s">
        <v>248</v>
      </c>
      <c r="D2" s="4" t="s">
        <v>249</v>
      </c>
    </row>
    <row r="3" spans="1:7" ht="14.25" customHeight="1" x14ac:dyDescent="0.35">
      <c r="A3" s="1">
        <v>2</v>
      </c>
      <c r="B3" s="4" t="s">
        <v>250</v>
      </c>
      <c r="C3" s="4" t="s">
        <v>248</v>
      </c>
      <c r="D3" s="4" t="s">
        <v>249</v>
      </c>
    </row>
    <row r="4" spans="1:7" ht="14.25" customHeight="1" x14ac:dyDescent="0.35">
      <c r="A4" s="1">
        <v>3</v>
      </c>
      <c r="B4" s="4" t="s">
        <v>64</v>
      </c>
      <c r="C4" s="4" t="s">
        <v>248</v>
      </c>
      <c r="D4" s="4" t="s">
        <v>249</v>
      </c>
    </row>
    <row r="5" spans="1:7" ht="14.25" customHeight="1" x14ac:dyDescent="0.35">
      <c r="A5" s="1">
        <v>4</v>
      </c>
      <c r="B5" s="4" t="s">
        <v>150</v>
      </c>
      <c r="C5" s="4" t="s">
        <v>248</v>
      </c>
      <c r="D5" s="4" t="s">
        <v>249</v>
      </c>
    </row>
    <row r="6" spans="1:7" ht="14.25" customHeight="1" x14ac:dyDescent="0.35">
      <c r="A6" s="1">
        <v>5</v>
      </c>
      <c r="B6" s="4" t="s">
        <v>161</v>
      </c>
      <c r="C6" s="4" t="s">
        <v>248</v>
      </c>
      <c r="D6" s="4" t="s">
        <v>249</v>
      </c>
    </row>
    <row r="7" spans="1:7" ht="14.25" customHeight="1" x14ac:dyDescent="0.35">
      <c r="A7" s="1">
        <v>6</v>
      </c>
      <c r="B7" s="4" t="s">
        <v>145</v>
      </c>
      <c r="C7" s="4" t="s">
        <v>248</v>
      </c>
      <c r="D7" s="4" t="s">
        <v>249</v>
      </c>
    </row>
    <row r="8" spans="1:7" ht="14.25" customHeight="1" x14ac:dyDescent="0.35">
      <c r="A8" s="1">
        <v>7</v>
      </c>
      <c r="B8" s="4" t="s">
        <v>66</v>
      </c>
      <c r="C8" s="4" t="s">
        <v>248</v>
      </c>
      <c r="D8" s="4" t="s">
        <v>249</v>
      </c>
    </row>
    <row r="9" spans="1:7" ht="14.25" customHeight="1" x14ac:dyDescent="0.35">
      <c r="A9" s="1">
        <v>8</v>
      </c>
      <c r="B9" s="4" t="s">
        <v>67</v>
      </c>
      <c r="C9" s="4" t="s">
        <v>248</v>
      </c>
      <c r="D9" s="4" t="s">
        <v>249</v>
      </c>
    </row>
    <row r="10" spans="1:7" ht="14.25" customHeight="1" x14ac:dyDescent="0.35">
      <c r="A10" s="1">
        <v>9</v>
      </c>
      <c r="B10" s="4" t="s">
        <v>142</v>
      </c>
      <c r="C10" s="4" t="s">
        <v>248</v>
      </c>
      <c r="D10" s="4" t="s">
        <v>249</v>
      </c>
    </row>
    <row r="11" spans="1:7" ht="14.25" customHeight="1" x14ac:dyDescent="0.35">
      <c r="A11" s="1">
        <v>10</v>
      </c>
      <c r="B11" s="4" t="s">
        <v>65</v>
      </c>
      <c r="C11" s="4" t="s">
        <v>248</v>
      </c>
      <c r="D11" s="4" t="s">
        <v>249</v>
      </c>
    </row>
    <row r="12" spans="1:7" ht="14.25" customHeight="1" x14ac:dyDescent="0.35">
      <c r="A12" s="1">
        <v>11</v>
      </c>
      <c r="B12" s="4" t="s">
        <v>218</v>
      </c>
      <c r="C12" s="4" t="s">
        <v>248</v>
      </c>
      <c r="D12" s="4" t="s">
        <v>249</v>
      </c>
    </row>
    <row r="13" spans="1:7" ht="14.25" customHeight="1" x14ac:dyDescent="0.35">
      <c r="A13" s="1">
        <v>12</v>
      </c>
      <c r="B13" s="4" t="s">
        <v>202</v>
      </c>
      <c r="C13" s="4" t="s">
        <v>248</v>
      </c>
      <c r="D13" s="4" t="s">
        <v>249</v>
      </c>
    </row>
    <row r="14" spans="1:7" ht="14.25" customHeight="1" x14ac:dyDescent="0.35">
      <c r="A14" s="1">
        <v>13</v>
      </c>
      <c r="B14" s="4" t="s">
        <v>196</v>
      </c>
      <c r="C14" s="4" t="s">
        <v>248</v>
      </c>
      <c r="D14" s="4" t="s">
        <v>249</v>
      </c>
      <c r="E14" s="5"/>
      <c r="F14" s="5"/>
      <c r="G14" s="5"/>
    </row>
    <row r="15" spans="1:7" ht="14.25" customHeight="1" x14ac:dyDescent="0.35">
      <c r="A15" s="1">
        <v>14</v>
      </c>
      <c r="B15" s="4" t="s">
        <v>103</v>
      </c>
      <c r="C15" s="4" t="s">
        <v>251</v>
      </c>
      <c r="D15" s="4" t="s">
        <v>249</v>
      </c>
      <c r="E15" s="5"/>
      <c r="F15" s="5"/>
      <c r="G15" s="5"/>
    </row>
    <row r="16" spans="1:7" ht="14.25" customHeight="1" x14ac:dyDescent="0.35">
      <c r="A16" s="1">
        <v>15</v>
      </c>
      <c r="B16" s="4" t="s">
        <v>252</v>
      </c>
      <c r="C16" s="4" t="s">
        <v>251</v>
      </c>
      <c r="D16" s="4" t="s">
        <v>253</v>
      </c>
      <c r="E16" s="5"/>
      <c r="F16" s="5"/>
      <c r="G16" s="5"/>
    </row>
    <row r="17" spans="1:7" ht="14.25" customHeight="1" x14ac:dyDescent="0.35">
      <c r="A17" s="1">
        <v>16</v>
      </c>
      <c r="B17" s="4" t="s">
        <v>190</v>
      </c>
      <c r="C17" s="4" t="s">
        <v>251</v>
      </c>
      <c r="D17" s="4" t="s">
        <v>249</v>
      </c>
      <c r="E17" s="5"/>
      <c r="F17" s="5"/>
      <c r="G17" s="5"/>
    </row>
    <row r="18" spans="1:7" ht="14.25" customHeight="1" x14ac:dyDescent="0.35">
      <c r="A18" s="1">
        <v>17</v>
      </c>
      <c r="B18" s="4" t="s">
        <v>148</v>
      </c>
      <c r="C18" s="4" t="s">
        <v>251</v>
      </c>
      <c r="D18" s="4" t="s">
        <v>254</v>
      </c>
      <c r="E18" s="5"/>
      <c r="F18" s="5"/>
      <c r="G18" s="5"/>
    </row>
    <row r="19" spans="1:7" ht="14.25" customHeight="1" x14ac:dyDescent="0.35">
      <c r="A19" s="1">
        <v>18</v>
      </c>
      <c r="B19" s="4" t="s">
        <v>255</v>
      </c>
      <c r="C19" s="4" t="s">
        <v>251</v>
      </c>
      <c r="D19" s="4" t="s">
        <v>256</v>
      </c>
      <c r="E19" s="5"/>
      <c r="F19" s="5"/>
      <c r="G19" s="5"/>
    </row>
    <row r="20" spans="1:7" ht="14.25" customHeight="1" x14ac:dyDescent="0.35">
      <c r="A20" s="1">
        <v>19</v>
      </c>
      <c r="B20" s="4" t="s">
        <v>257</v>
      </c>
      <c r="C20" s="4" t="s">
        <v>251</v>
      </c>
      <c r="D20" s="4" t="s">
        <v>256</v>
      </c>
      <c r="E20" s="5"/>
      <c r="F20" s="5"/>
      <c r="G20" s="5"/>
    </row>
    <row r="21" spans="1:7" ht="14.25" customHeight="1" x14ac:dyDescent="0.35">
      <c r="A21" s="1">
        <v>20</v>
      </c>
      <c r="B21" s="4" t="s">
        <v>122</v>
      </c>
      <c r="C21" s="4" t="s">
        <v>251</v>
      </c>
      <c r="D21" s="4" t="s">
        <v>249</v>
      </c>
      <c r="E21" s="5"/>
      <c r="F21" s="5"/>
      <c r="G21" s="5"/>
    </row>
    <row r="22" spans="1:7" ht="14.25" customHeight="1" x14ac:dyDescent="0.35">
      <c r="A22" s="1">
        <v>21</v>
      </c>
      <c r="B22" s="4" t="s">
        <v>258</v>
      </c>
      <c r="C22" s="4" t="s">
        <v>251</v>
      </c>
      <c r="D22" s="4" t="s">
        <v>259</v>
      </c>
      <c r="E22" s="5"/>
      <c r="F22" s="5"/>
      <c r="G22" s="5"/>
    </row>
    <row r="23" spans="1:7" ht="14.25" customHeight="1" x14ac:dyDescent="0.35">
      <c r="A23" s="1">
        <v>22</v>
      </c>
      <c r="B23" s="4" t="s">
        <v>162</v>
      </c>
      <c r="C23" s="4" t="s">
        <v>251</v>
      </c>
      <c r="D23" s="4" t="s">
        <v>249</v>
      </c>
      <c r="E23" s="5"/>
      <c r="F23" s="5"/>
      <c r="G23" s="5"/>
    </row>
    <row r="24" spans="1:7" ht="14.25" customHeight="1" x14ac:dyDescent="0.35">
      <c r="A24" s="1">
        <v>23</v>
      </c>
      <c r="B24" s="4" t="s">
        <v>157</v>
      </c>
      <c r="C24" s="4" t="s">
        <v>251</v>
      </c>
      <c r="D24" s="4" t="s">
        <v>249</v>
      </c>
      <c r="E24" s="5"/>
      <c r="F24" s="5"/>
      <c r="G24" s="5"/>
    </row>
    <row r="25" spans="1:7" ht="14.25" customHeight="1" x14ac:dyDescent="0.35">
      <c r="A25" s="1">
        <v>24</v>
      </c>
      <c r="B25" s="4" t="s">
        <v>260</v>
      </c>
      <c r="C25" s="4" t="s">
        <v>251</v>
      </c>
      <c r="D25" s="4" t="s">
        <v>249</v>
      </c>
      <c r="E25" s="5"/>
      <c r="F25" s="5"/>
      <c r="G25" s="5"/>
    </row>
    <row r="26" spans="1:7" ht="14.25" customHeight="1" x14ac:dyDescent="0.35">
      <c r="A26" s="1">
        <v>25</v>
      </c>
      <c r="B26" s="4" t="s">
        <v>144</v>
      </c>
      <c r="C26" s="4" t="s">
        <v>251</v>
      </c>
      <c r="D26" s="4" t="s">
        <v>249</v>
      </c>
      <c r="E26" s="5"/>
      <c r="F26" s="5"/>
      <c r="G26" s="5"/>
    </row>
    <row r="27" spans="1:7" ht="14.25" customHeight="1" x14ac:dyDescent="0.35">
      <c r="A27" s="1">
        <v>26</v>
      </c>
      <c r="B27" s="4" t="s">
        <v>133</v>
      </c>
      <c r="C27" s="4" t="s">
        <v>251</v>
      </c>
      <c r="D27" s="4" t="s">
        <v>256</v>
      </c>
      <c r="E27" s="5"/>
      <c r="F27" s="5"/>
      <c r="G27" s="5"/>
    </row>
    <row r="28" spans="1:7" ht="14.25" customHeight="1" x14ac:dyDescent="0.35">
      <c r="A28" s="1">
        <v>27</v>
      </c>
      <c r="B28" s="4" t="s">
        <v>199</v>
      </c>
      <c r="C28" s="4" t="s">
        <v>251</v>
      </c>
      <c r="D28" s="4" t="s">
        <v>249</v>
      </c>
      <c r="E28" s="5"/>
      <c r="F28" s="5"/>
      <c r="G28" s="5"/>
    </row>
    <row r="29" spans="1:7" ht="14.25" customHeight="1" x14ac:dyDescent="0.35">
      <c r="A29" s="1">
        <v>28</v>
      </c>
      <c r="B29" s="4" t="s">
        <v>163</v>
      </c>
      <c r="C29" s="4" t="s">
        <v>251</v>
      </c>
      <c r="D29" s="4" t="s">
        <v>249</v>
      </c>
    </row>
    <row r="30" spans="1:7" ht="14.25" customHeight="1" x14ac:dyDescent="0.35">
      <c r="A30" s="1">
        <v>29</v>
      </c>
      <c r="B30" s="4" t="s">
        <v>49</v>
      </c>
      <c r="C30" s="4" t="s">
        <v>251</v>
      </c>
      <c r="D30" s="4" t="s">
        <v>249</v>
      </c>
    </row>
    <row r="31" spans="1:7" ht="14.25" customHeight="1" x14ac:dyDescent="0.35">
      <c r="A31" s="1">
        <v>30</v>
      </c>
      <c r="B31" s="4" t="s">
        <v>151</v>
      </c>
      <c r="C31" s="4" t="s">
        <v>251</v>
      </c>
      <c r="D31" s="4" t="s">
        <v>249</v>
      </c>
    </row>
    <row r="32" spans="1:7" ht="14.25" customHeight="1" x14ac:dyDescent="0.35">
      <c r="A32" s="1">
        <v>31</v>
      </c>
      <c r="B32" s="4" t="s">
        <v>261</v>
      </c>
      <c r="C32" s="4" t="s">
        <v>251</v>
      </c>
      <c r="D32" s="4" t="s">
        <v>253</v>
      </c>
    </row>
    <row r="33" spans="1:4" ht="14.25" customHeight="1" x14ac:dyDescent="0.35">
      <c r="A33" s="1">
        <v>32</v>
      </c>
      <c r="B33" s="4" t="s">
        <v>156</v>
      </c>
      <c r="C33" s="4" t="s">
        <v>251</v>
      </c>
      <c r="D33" s="4" t="s">
        <v>249</v>
      </c>
    </row>
    <row r="34" spans="1:4" ht="14.25" customHeight="1" x14ac:dyDescent="0.35">
      <c r="A34" s="1">
        <v>33</v>
      </c>
      <c r="B34" s="4" t="s">
        <v>143</v>
      </c>
      <c r="C34" s="4" t="s">
        <v>251</v>
      </c>
      <c r="D34" s="4" t="s">
        <v>249</v>
      </c>
    </row>
    <row r="35" spans="1:4" ht="14.25" customHeight="1" x14ac:dyDescent="0.35">
      <c r="A35" s="1">
        <v>34</v>
      </c>
      <c r="B35" s="4" t="s">
        <v>169</v>
      </c>
      <c r="C35" s="4" t="s">
        <v>251</v>
      </c>
      <c r="D35" s="4" t="s">
        <v>249</v>
      </c>
    </row>
    <row r="36" spans="1:4" ht="14.25" customHeight="1" x14ac:dyDescent="0.35">
      <c r="A36" s="1">
        <v>35</v>
      </c>
      <c r="B36" s="4" t="s">
        <v>262</v>
      </c>
      <c r="C36" s="4" t="s">
        <v>251</v>
      </c>
      <c r="D36" s="4" t="s">
        <v>263</v>
      </c>
    </row>
    <row r="37" spans="1:4" ht="14.25" customHeight="1" x14ac:dyDescent="0.35">
      <c r="A37" s="1">
        <v>36</v>
      </c>
      <c r="B37" s="4" t="s">
        <v>264</v>
      </c>
      <c r="C37" s="4" t="s">
        <v>251</v>
      </c>
      <c r="D37" s="4" t="s">
        <v>265</v>
      </c>
    </row>
    <row r="38" spans="1:4" ht="14.25" customHeight="1" x14ac:dyDescent="0.35">
      <c r="A38" s="1">
        <v>37</v>
      </c>
      <c r="B38" s="4" t="s">
        <v>219</v>
      </c>
      <c r="C38" s="4" t="s">
        <v>251</v>
      </c>
      <c r="D38" s="4" t="s">
        <v>259</v>
      </c>
    </row>
    <row r="39" spans="1:4" ht="14.25" customHeight="1" x14ac:dyDescent="0.35">
      <c r="A39" s="1">
        <v>38</v>
      </c>
      <c r="B39" s="4" t="s">
        <v>47</v>
      </c>
      <c r="C39" s="4" t="s">
        <v>251</v>
      </c>
      <c r="D39" s="4" t="s">
        <v>249</v>
      </c>
    </row>
    <row r="40" spans="1:4" ht="14.25" customHeight="1" x14ac:dyDescent="0.35">
      <c r="A40" s="1">
        <v>39</v>
      </c>
      <c r="B40" s="4" t="s">
        <v>168</v>
      </c>
      <c r="C40" s="4" t="s">
        <v>251</v>
      </c>
      <c r="D40" s="4" t="s">
        <v>249</v>
      </c>
    </row>
    <row r="41" spans="1:4" ht="14.25" customHeight="1" x14ac:dyDescent="0.35">
      <c r="A41" s="1">
        <v>40</v>
      </c>
      <c r="B41" s="4" t="s">
        <v>101</v>
      </c>
      <c r="C41" s="4" t="s">
        <v>251</v>
      </c>
      <c r="D41" s="4" t="s">
        <v>266</v>
      </c>
    </row>
    <row r="42" spans="1:4" ht="14.25" customHeight="1" x14ac:dyDescent="0.35">
      <c r="A42" s="1">
        <v>41</v>
      </c>
      <c r="B42" s="4" t="s">
        <v>159</v>
      </c>
      <c r="C42" s="4" t="s">
        <v>251</v>
      </c>
      <c r="D42" s="4" t="s">
        <v>249</v>
      </c>
    </row>
    <row r="43" spans="1:4" ht="14.25" customHeight="1" x14ac:dyDescent="0.35">
      <c r="A43" s="1">
        <v>42</v>
      </c>
      <c r="B43" s="4" t="s">
        <v>50</v>
      </c>
      <c r="C43" s="4" t="s">
        <v>251</v>
      </c>
      <c r="D43" s="4" t="s">
        <v>267</v>
      </c>
    </row>
    <row r="44" spans="1:4" ht="14.25" customHeight="1" x14ac:dyDescent="0.35">
      <c r="A44" s="1">
        <v>43</v>
      </c>
      <c r="B44" s="4" t="s">
        <v>52</v>
      </c>
      <c r="C44" s="4" t="s">
        <v>251</v>
      </c>
      <c r="D44" s="4" t="s">
        <v>249</v>
      </c>
    </row>
    <row r="45" spans="1:4" ht="14.25" customHeight="1" x14ac:dyDescent="0.35">
      <c r="A45" s="1">
        <v>44</v>
      </c>
      <c r="B45" s="4" t="s">
        <v>268</v>
      </c>
      <c r="C45" s="4" t="s">
        <v>251</v>
      </c>
      <c r="D45" s="4" t="s">
        <v>249</v>
      </c>
    </row>
    <row r="46" spans="1:4" ht="14.25" customHeight="1" x14ac:dyDescent="0.35">
      <c r="A46" s="1">
        <v>45</v>
      </c>
      <c r="B46" s="4" t="s">
        <v>153</v>
      </c>
      <c r="C46" s="4" t="s">
        <v>251</v>
      </c>
      <c r="D46" s="4" t="s">
        <v>249</v>
      </c>
    </row>
    <row r="47" spans="1:4" ht="14.25" customHeight="1" x14ac:dyDescent="0.35">
      <c r="A47" s="1">
        <v>46</v>
      </c>
      <c r="B47" s="4" t="s">
        <v>269</v>
      </c>
      <c r="C47" s="4" t="s">
        <v>251</v>
      </c>
      <c r="D47" s="4" t="s">
        <v>270</v>
      </c>
    </row>
    <row r="48" spans="1:4" ht="14.25" customHeight="1" x14ac:dyDescent="0.35">
      <c r="A48" s="1">
        <v>47</v>
      </c>
      <c r="B48" s="4" t="s">
        <v>141</v>
      </c>
      <c r="C48" s="4" t="s">
        <v>251</v>
      </c>
      <c r="D48" s="4" t="s">
        <v>271</v>
      </c>
    </row>
    <row r="49" spans="1:4" ht="14.25" customHeight="1" x14ac:dyDescent="0.35">
      <c r="A49" s="1">
        <v>48</v>
      </c>
      <c r="B49" s="4" t="s">
        <v>272</v>
      </c>
      <c r="C49" s="4" t="s">
        <v>251</v>
      </c>
      <c r="D49" s="4" t="s">
        <v>273</v>
      </c>
    </row>
    <row r="50" spans="1:4" ht="14.25" customHeight="1" x14ac:dyDescent="0.35">
      <c r="A50" s="1">
        <v>49</v>
      </c>
      <c r="B50" s="4" t="s">
        <v>154</v>
      </c>
      <c r="C50" s="4" t="s">
        <v>251</v>
      </c>
      <c r="D50" s="4" t="s">
        <v>259</v>
      </c>
    </row>
    <row r="51" spans="1:4" ht="14.25" customHeight="1" x14ac:dyDescent="0.35">
      <c r="A51" s="1">
        <v>50</v>
      </c>
      <c r="B51" s="4" t="s">
        <v>274</v>
      </c>
      <c r="C51" s="4" t="s">
        <v>251</v>
      </c>
      <c r="D51" s="4" t="s">
        <v>253</v>
      </c>
    </row>
    <row r="52" spans="1:4" ht="14.25" customHeight="1" x14ac:dyDescent="0.35">
      <c r="A52" s="1">
        <v>51</v>
      </c>
      <c r="B52" s="4" t="s">
        <v>104</v>
      </c>
      <c r="C52" s="4" t="s">
        <v>251</v>
      </c>
      <c r="D52" s="4" t="s">
        <v>249</v>
      </c>
    </row>
    <row r="53" spans="1:4" ht="14.25" customHeight="1" x14ac:dyDescent="0.35">
      <c r="A53" s="1">
        <v>52</v>
      </c>
      <c r="B53" s="4" t="s">
        <v>158</v>
      </c>
      <c r="C53" s="4" t="s">
        <v>251</v>
      </c>
      <c r="D53" s="4" t="s">
        <v>249</v>
      </c>
    </row>
    <row r="54" spans="1:4" ht="14.25" customHeight="1" x14ac:dyDescent="0.35">
      <c r="A54" s="1">
        <v>53</v>
      </c>
      <c r="B54" s="4" t="s">
        <v>211</v>
      </c>
      <c r="C54" s="4" t="s">
        <v>251</v>
      </c>
      <c r="D54" s="4" t="s">
        <v>249</v>
      </c>
    </row>
    <row r="55" spans="1:4" ht="14.25" customHeight="1" x14ac:dyDescent="0.35">
      <c r="A55" s="1">
        <v>54</v>
      </c>
      <c r="B55" s="4" t="s">
        <v>102</v>
      </c>
      <c r="C55" s="4" t="s">
        <v>251</v>
      </c>
      <c r="D55" s="4" t="s">
        <v>256</v>
      </c>
    </row>
    <row r="56" spans="1:4" ht="14.25" customHeight="1" x14ac:dyDescent="0.35">
      <c r="A56" s="1">
        <v>55</v>
      </c>
      <c r="B56" s="4" t="s">
        <v>51</v>
      </c>
      <c r="C56" s="4" t="s">
        <v>251</v>
      </c>
      <c r="D56" s="4" t="s">
        <v>273</v>
      </c>
    </row>
    <row r="57" spans="1:4" ht="14.25" customHeight="1" x14ac:dyDescent="0.35">
      <c r="A57" s="1">
        <v>56</v>
      </c>
      <c r="B57" s="4" t="s">
        <v>275</v>
      </c>
      <c r="C57" s="4" t="s">
        <v>251</v>
      </c>
      <c r="D57" s="4" t="s">
        <v>265</v>
      </c>
    </row>
    <row r="58" spans="1:4" ht="14.25" customHeight="1" x14ac:dyDescent="0.35">
      <c r="A58" s="1">
        <v>57</v>
      </c>
      <c r="B58" s="4" t="s">
        <v>166</v>
      </c>
      <c r="C58" s="4" t="s">
        <v>251</v>
      </c>
      <c r="D58" s="4" t="s">
        <v>249</v>
      </c>
    </row>
    <row r="59" spans="1:4" ht="14.25" customHeight="1" x14ac:dyDescent="0.35">
      <c r="A59" s="1">
        <v>58</v>
      </c>
      <c r="B59" s="4" t="s">
        <v>146</v>
      </c>
      <c r="C59" s="4" t="s">
        <v>251</v>
      </c>
      <c r="D59" s="4" t="s">
        <v>249</v>
      </c>
    </row>
    <row r="60" spans="1:4" ht="14.25" customHeight="1" x14ac:dyDescent="0.35">
      <c r="A60" s="1">
        <v>59</v>
      </c>
      <c r="B60" s="4" t="s">
        <v>276</v>
      </c>
      <c r="C60" s="4" t="s">
        <v>251</v>
      </c>
      <c r="D60" s="4" t="s">
        <v>273</v>
      </c>
    </row>
    <row r="61" spans="1:4" ht="14.25" customHeight="1" x14ac:dyDescent="0.35">
      <c r="A61" s="1">
        <v>60</v>
      </c>
      <c r="B61" s="4" t="s">
        <v>277</v>
      </c>
      <c r="C61" s="4" t="s">
        <v>251</v>
      </c>
      <c r="D61" s="4" t="s">
        <v>273</v>
      </c>
    </row>
    <row r="62" spans="1:4" ht="14.25" customHeight="1" x14ac:dyDescent="0.35">
      <c r="A62" s="1">
        <v>61</v>
      </c>
      <c r="B62" s="4" t="s">
        <v>278</v>
      </c>
      <c r="C62" s="4" t="s">
        <v>251</v>
      </c>
      <c r="D62" s="4" t="s">
        <v>273</v>
      </c>
    </row>
    <row r="63" spans="1:4" ht="14.25" customHeight="1" x14ac:dyDescent="0.35">
      <c r="A63" s="1">
        <v>62</v>
      </c>
      <c r="B63" s="4" t="s">
        <v>279</v>
      </c>
      <c r="C63" s="4" t="s">
        <v>251</v>
      </c>
      <c r="D63" s="4" t="s">
        <v>273</v>
      </c>
    </row>
    <row r="64" spans="1:4" ht="14.25" customHeight="1" x14ac:dyDescent="0.35">
      <c r="A64" s="1">
        <v>63</v>
      </c>
      <c r="B64" s="4" t="s">
        <v>280</v>
      </c>
      <c r="C64" s="4" t="s">
        <v>251</v>
      </c>
      <c r="D64" s="4" t="s">
        <v>273</v>
      </c>
    </row>
    <row r="65" spans="1:4" ht="14.25" customHeight="1" x14ac:dyDescent="0.35">
      <c r="A65" s="1">
        <v>64</v>
      </c>
      <c r="B65" s="4" t="s">
        <v>281</v>
      </c>
      <c r="C65" s="4" t="s">
        <v>251</v>
      </c>
      <c r="D65" s="4" t="s">
        <v>273</v>
      </c>
    </row>
    <row r="66" spans="1:4" ht="14.25" customHeight="1" x14ac:dyDescent="0.35">
      <c r="A66" s="1">
        <v>65</v>
      </c>
      <c r="B66" s="4" t="s">
        <v>282</v>
      </c>
      <c r="C66" s="4" t="s">
        <v>251</v>
      </c>
      <c r="D66" s="4" t="s">
        <v>273</v>
      </c>
    </row>
    <row r="67" spans="1:4" ht="14.25" customHeight="1" x14ac:dyDescent="0.35">
      <c r="A67" s="1">
        <v>66</v>
      </c>
      <c r="B67" s="4" t="s">
        <v>283</v>
      </c>
      <c r="C67" s="4" t="s">
        <v>251</v>
      </c>
      <c r="D67" s="4" t="s">
        <v>273</v>
      </c>
    </row>
    <row r="68" spans="1:4" ht="14.25" customHeight="1" x14ac:dyDescent="0.35">
      <c r="A68" s="1">
        <v>67</v>
      </c>
      <c r="B68" s="4" t="s">
        <v>47</v>
      </c>
      <c r="C68" s="4" t="s">
        <v>251</v>
      </c>
      <c r="D68" s="4" t="s">
        <v>249</v>
      </c>
    </row>
    <row r="69" spans="1:4" ht="14.25" customHeight="1" x14ac:dyDescent="0.35">
      <c r="A69" s="1">
        <v>68</v>
      </c>
      <c r="B69" s="4" t="s">
        <v>54</v>
      </c>
      <c r="C69" s="4"/>
      <c r="D69" s="4"/>
    </row>
    <row r="70" spans="1:4" ht="14.25" customHeight="1" x14ac:dyDescent="0.35">
      <c r="A70" s="1">
        <v>69</v>
      </c>
      <c r="B70" s="4" t="s">
        <v>46</v>
      </c>
      <c r="C70" s="4"/>
      <c r="D70" s="4"/>
    </row>
    <row r="71" spans="1:4" ht="14.25" customHeight="1" x14ac:dyDescent="0.35">
      <c r="B71" s="4"/>
      <c r="C71" s="4"/>
      <c r="D71" s="4"/>
    </row>
    <row r="72" spans="1:4" ht="14.25" customHeight="1" x14ac:dyDescent="0.35">
      <c r="B72" s="4"/>
      <c r="C72" s="4"/>
      <c r="D72" s="4"/>
    </row>
    <row r="73" spans="1:4" ht="14.25" customHeight="1" x14ac:dyDescent="0.35">
      <c r="B73" s="4"/>
      <c r="C73" s="4"/>
      <c r="D73" s="4"/>
    </row>
    <row r="74" spans="1:4" ht="14.25" customHeight="1" x14ac:dyDescent="0.35">
      <c r="B74" s="4"/>
      <c r="C74" s="4"/>
      <c r="D74" s="4"/>
    </row>
    <row r="75" spans="1:4" ht="14.25" customHeight="1" x14ac:dyDescent="0.35">
      <c r="B75" s="4"/>
      <c r="C75" s="4"/>
      <c r="D75" s="4"/>
    </row>
    <row r="76" spans="1:4" ht="14.25" customHeight="1" x14ac:dyDescent="0.35">
      <c r="B76" s="4"/>
      <c r="C76" s="4"/>
      <c r="D76" s="4"/>
    </row>
    <row r="77" spans="1:4" ht="14.25" customHeight="1" x14ac:dyDescent="0.35">
      <c r="B77" s="4"/>
      <c r="C77" s="4"/>
      <c r="D77" s="4"/>
    </row>
    <row r="78" spans="1:4" ht="14.25" customHeight="1" x14ac:dyDescent="0.35">
      <c r="B78" s="4"/>
      <c r="C78" s="4"/>
      <c r="D78" s="4"/>
    </row>
    <row r="79" spans="1:4" ht="14.25" customHeight="1" x14ac:dyDescent="0.35">
      <c r="B79" s="4"/>
      <c r="C79" s="4"/>
      <c r="D79" s="4"/>
    </row>
    <row r="80" spans="1:4" ht="14.25" customHeight="1" x14ac:dyDescent="0.35">
      <c r="B80" s="4"/>
      <c r="C80" s="4"/>
      <c r="D80" s="4"/>
    </row>
    <row r="81" spans="2:4" ht="14.25" customHeight="1" x14ac:dyDescent="0.35">
      <c r="B81" s="4"/>
      <c r="C81" s="4"/>
      <c r="D81" s="4"/>
    </row>
    <row r="82" spans="2:4" ht="14.25" customHeight="1" x14ac:dyDescent="0.35">
      <c r="B82" s="4"/>
      <c r="C82" s="4"/>
      <c r="D82" s="4"/>
    </row>
    <row r="83" spans="2:4" ht="14.25" customHeight="1" x14ac:dyDescent="0.35">
      <c r="B83" s="4"/>
      <c r="C83" s="4"/>
      <c r="D83" s="4"/>
    </row>
    <row r="84" spans="2:4" ht="14.25" customHeight="1" x14ac:dyDescent="0.35">
      <c r="B84" s="4"/>
      <c r="C84" s="4"/>
      <c r="D84" s="4"/>
    </row>
    <row r="85" spans="2:4" ht="14.25" customHeight="1" x14ac:dyDescent="0.35">
      <c r="B85" s="4"/>
      <c r="C85" s="4"/>
      <c r="D85" s="4"/>
    </row>
    <row r="86" spans="2:4" ht="14.25" customHeight="1" x14ac:dyDescent="0.35">
      <c r="B86" s="4"/>
      <c r="C86" s="4"/>
      <c r="D86" s="4"/>
    </row>
    <row r="87" spans="2:4" ht="14.25" customHeight="1" x14ac:dyDescent="0.35">
      <c r="B87" s="4"/>
      <c r="C87" s="4"/>
      <c r="D87" s="4"/>
    </row>
    <row r="88" spans="2:4" ht="14.25" customHeight="1" x14ac:dyDescent="0.35">
      <c r="B88" s="4"/>
      <c r="C88" s="4"/>
      <c r="D88" s="4"/>
    </row>
    <row r="89" spans="2:4" ht="14.25" customHeight="1" x14ac:dyDescent="0.35">
      <c r="B89" s="4"/>
      <c r="C89" s="4"/>
      <c r="D89" s="4"/>
    </row>
    <row r="90" spans="2:4" ht="14.25" customHeight="1" x14ac:dyDescent="0.35">
      <c r="B90" s="4"/>
      <c r="C90" s="4"/>
      <c r="D90" s="4"/>
    </row>
    <row r="91" spans="2:4" ht="14.25" customHeight="1" x14ac:dyDescent="0.35">
      <c r="B91" s="4"/>
      <c r="C91" s="4"/>
      <c r="D91" s="4"/>
    </row>
    <row r="92" spans="2:4" ht="14.25" customHeight="1" x14ac:dyDescent="0.35">
      <c r="B92" s="4"/>
      <c r="C92" s="4"/>
      <c r="D92" s="4"/>
    </row>
    <row r="93" spans="2:4" ht="14.25" customHeight="1" x14ac:dyDescent="0.35">
      <c r="B93" s="4"/>
      <c r="C93" s="4"/>
      <c r="D93" s="4"/>
    </row>
    <row r="94" spans="2:4" ht="14.25" customHeight="1" x14ac:dyDescent="0.35">
      <c r="B94" s="4"/>
      <c r="C94" s="4"/>
      <c r="D94" s="4"/>
    </row>
    <row r="95" spans="2:4" ht="14.25" customHeight="1" x14ac:dyDescent="0.35">
      <c r="B95" s="4"/>
      <c r="C95" s="4"/>
      <c r="D95" s="4"/>
    </row>
    <row r="96" spans="2:4" ht="14.25" customHeight="1" x14ac:dyDescent="0.35">
      <c r="B96" s="4"/>
      <c r="C96" s="4"/>
      <c r="D96" s="4"/>
    </row>
    <row r="97" spans="2:4" ht="14.25" customHeight="1" x14ac:dyDescent="0.35">
      <c r="B97" s="4"/>
      <c r="C97" s="4"/>
      <c r="D97" s="4"/>
    </row>
    <row r="98" spans="2:4" ht="14.25" customHeight="1" x14ac:dyDescent="0.35">
      <c r="B98" s="4"/>
      <c r="C98" s="4"/>
      <c r="D98" s="4"/>
    </row>
    <row r="99" spans="2:4" ht="14.25" customHeight="1" x14ac:dyDescent="0.35">
      <c r="B99" s="4"/>
      <c r="C99" s="4"/>
      <c r="D99" s="4"/>
    </row>
    <row r="100" spans="2:4" ht="14.25" customHeight="1" x14ac:dyDescent="0.35">
      <c r="B100" s="4"/>
      <c r="C100" s="4"/>
      <c r="D100" s="4"/>
    </row>
    <row r="101" spans="2:4" ht="14.25" customHeight="1" x14ac:dyDescent="0.35">
      <c r="B101" s="4"/>
      <c r="C101" s="4"/>
      <c r="D101" s="4"/>
    </row>
    <row r="102" spans="2:4" ht="14.25" customHeight="1" x14ac:dyDescent="0.35">
      <c r="B102" s="4"/>
      <c r="C102" s="4"/>
      <c r="D102" s="4"/>
    </row>
    <row r="103" spans="2:4" ht="14.25" customHeight="1" x14ac:dyDescent="0.35">
      <c r="B103" s="4"/>
      <c r="C103" s="4"/>
      <c r="D103" s="4"/>
    </row>
    <row r="104" spans="2:4" ht="14.25" customHeight="1" x14ac:dyDescent="0.35">
      <c r="B104" s="4"/>
      <c r="C104" s="4"/>
      <c r="D104" s="4"/>
    </row>
    <row r="105" spans="2:4" ht="14.25" customHeight="1" x14ac:dyDescent="0.35">
      <c r="B105" s="4"/>
      <c r="C105" s="4"/>
      <c r="D105" s="4"/>
    </row>
    <row r="106" spans="2:4" ht="14.25" customHeight="1" x14ac:dyDescent="0.35">
      <c r="B106" s="4"/>
      <c r="C106" s="4"/>
      <c r="D106" s="4"/>
    </row>
    <row r="107" spans="2:4" ht="14.25" customHeight="1" x14ac:dyDescent="0.35">
      <c r="B107" s="4"/>
      <c r="C107" s="4"/>
      <c r="D107" s="4"/>
    </row>
    <row r="108" spans="2:4" ht="14.25" customHeight="1" x14ac:dyDescent="0.35">
      <c r="B108" s="4"/>
      <c r="C108" s="4"/>
      <c r="D108" s="4"/>
    </row>
    <row r="109" spans="2:4" ht="14.25" customHeight="1" x14ac:dyDescent="0.35">
      <c r="B109" s="4"/>
      <c r="C109" s="4"/>
      <c r="D109" s="4"/>
    </row>
    <row r="110" spans="2:4" ht="14.25" customHeight="1" x14ac:dyDescent="0.35">
      <c r="B110" s="4"/>
      <c r="C110" s="4"/>
      <c r="D110" s="4"/>
    </row>
    <row r="111" spans="2:4" ht="14.25" customHeight="1" x14ac:dyDescent="0.35">
      <c r="B111" s="4"/>
      <c r="C111" s="4"/>
      <c r="D111" s="4"/>
    </row>
    <row r="112" spans="2:4" ht="14.25" customHeight="1" x14ac:dyDescent="0.35">
      <c r="B112" s="4"/>
      <c r="C112" s="4"/>
      <c r="D112" s="4"/>
    </row>
    <row r="113" spans="2:4" ht="14.25" customHeight="1" x14ac:dyDescent="0.35">
      <c r="B113" s="4"/>
      <c r="C113" s="4"/>
      <c r="D113" s="4"/>
    </row>
    <row r="114" spans="2:4" ht="14.25" customHeight="1" x14ac:dyDescent="0.35">
      <c r="B114" s="4"/>
      <c r="C114" s="4"/>
      <c r="D114" s="4"/>
    </row>
    <row r="115" spans="2:4" ht="14.25" customHeight="1" x14ac:dyDescent="0.35">
      <c r="B115" s="4"/>
      <c r="C115" s="4"/>
      <c r="D115" s="4"/>
    </row>
    <row r="116" spans="2:4" ht="14.25" customHeight="1" x14ac:dyDescent="0.35">
      <c r="B116" s="4"/>
      <c r="C116" s="4"/>
      <c r="D116" s="4"/>
    </row>
    <row r="117" spans="2:4" ht="14.25" customHeight="1" x14ac:dyDescent="0.35">
      <c r="B117" s="4"/>
      <c r="C117" s="4"/>
      <c r="D117" s="4"/>
    </row>
    <row r="118" spans="2:4" ht="14.25" customHeight="1" x14ac:dyDescent="0.35">
      <c r="B118" s="4"/>
      <c r="C118" s="4"/>
      <c r="D118" s="4"/>
    </row>
    <row r="119" spans="2:4" ht="14.25" customHeight="1" x14ac:dyDescent="0.35">
      <c r="B119" s="4"/>
      <c r="C119" s="4"/>
      <c r="D119" s="4"/>
    </row>
    <row r="120" spans="2:4" ht="14.25" customHeight="1" x14ac:dyDescent="0.35">
      <c r="B120" s="4"/>
      <c r="C120" s="4"/>
      <c r="D120" s="4"/>
    </row>
    <row r="121" spans="2:4" ht="14.25" customHeight="1" x14ac:dyDescent="0.35">
      <c r="B121" s="4"/>
      <c r="C121" s="4"/>
      <c r="D121" s="4"/>
    </row>
    <row r="122" spans="2:4" ht="14.25" customHeight="1" x14ac:dyDescent="0.35">
      <c r="B122" s="4"/>
      <c r="C122" s="4"/>
      <c r="D122" s="4"/>
    </row>
    <row r="123" spans="2:4" ht="14.25" customHeight="1" x14ac:dyDescent="0.35">
      <c r="B123" s="4"/>
      <c r="C123" s="4"/>
      <c r="D123" s="4"/>
    </row>
    <row r="124" spans="2:4" ht="14.25" customHeight="1" x14ac:dyDescent="0.35">
      <c r="B124" s="4"/>
      <c r="C124" s="4"/>
      <c r="D124" s="4"/>
    </row>
    <row r="125" spans="2:4" ht="14.25" customHeight="1" x14ac:dyDescent="0.35">
      <c r="B125" s="4"/>
      <c r="C125" s="4"/>
      <c r="D125" s="4"/>
    </row>
    <row r="126" spans="2:4" ht="14.25" customHeight="1" x14ac:dyDescent="0.35">
      <c r="B126" s="4"/>
      <c r="C126" s="4"/>
      <c r="D126" s="4"/>
    </row>
    <row r="127" spans="2:4" ht="14.25" customHeight="1" x14ac:dyDescent="0.35">
      <c r="B127" s="4"/>
      <c r="C127" s="4"/>
      <c r="D127" s="4"/>
    </row>
    <row r="128" spans="2:4" ht="14.25" customHeight="1" x14ac:dyDescent="0.35">
      <c r="B128" s="4"/>
      <c r="C128" s="4"/>
      <c r="D128" s="4"/>
    </row>
    <row r="129" spans="2:4" ht="14.25" customHeight="1" x14ac:dyDescent="0.35">
      <c r="B129" s="4"/>
      <c r="C129" s="4"/>
      <c r="D129" s="4"/>
    </row>
    <row r="130" spans="2:4" ht="14.25" customHeight="1" x14ac:dyDescent="0.35">
      <c r="B130" s="4"/>
      <c r="C130" s="4"/>
      <c r="D130" s="4"/>
    </row>
    <row r="131" spans="2:4" ht="14.25" customHeight="1" x14ac:dyDescent="0.35">
      <c r="B131" s="4"/>
      <c r="C131" s="4"/>
      <c r="D131" s="4"/>
    </row>
    <row r="132" spans="2:4" ht="14.25" customHeight="1" x14ac:dyDescent="0.35">
      <c r="B132" s="4"/>
      <c r="C132" s="4"/>
      <c r="D132" s="4"/>
    </row>
    <row r="133" spans="2:4" ht="14.25" customHeight="1" x14ac:dyDescent="0.35">
      <c r="B133" s="4"/>
      <c r="C133" s="4"/>
      <c r="D133" s="4"/>
    </row>
    <row r="134" spans="2:4" ht="14.25" customHeight="1" x14ac:dyDescent="0.35">
      <c r="B134" s="4"/>
      <c r="C134" s="4"/>
      <c r="D134" s="4"/>
    </row>
    <row r="135" spans="2:4" ht="14.25" customHeight="1" x14ac:dyDescent="0.35">
      <c r="B135" s="4"/>
      <c r="C135" s="4"/>
      <c r="D135" s="4"/>
    </row>
    <row r="136" spans="2:4" ht="14.25" customHeight="1" x14ac:dyDescent="0.35">
      <c r="B136" s="4"/>
      <c r="C136" s="4"/>
      <c r="D136" s="4"/>
    </row>
    <row r="137" spans="2:4" ht="14.25" customHeight="1" x14ac:dyDescent="0.35">
      <c r="B137" s="4"/>
      <c r="C137" s="4"/>
      <c r="D137" s="4"/>
    </row>
    <row r="138" spans="2:4" ht="14.25" customHeight="1" x14ac:dyDescent="0.35">
      <c r="B138" s="4"/>
      <c r="C138" s="4"/>
      <c r="D138" s="4"/>
    </row>
    <row r="139" spans="2:4" ht="14.25" customHeight="1" x14ac:dyDescent="0.35">
      <c r="B139" s="4"/>
      <c r="C139" s="4"/>
      <c r="D139" s="4"/>
    </row>
    <row r="140" spans="2:4" ht="14.25" customHeight="1" x14ac:dyDescent="0.35">
      <c r="B140" s="4"/>
      <c r="C140" s="4"/>
      <c r="D140" s="4"/>
    </row>
    <row r="141" spans="2:4" ht="14.25" customHeight="1" x14ac:dyDescent="0.35">
      <c r="B141" s="4"/>
      <c r="C141" s="4"/>
      <c r="D141" s="4"/>
    </row>
    <row r="142" spans="2:4" ht="14.25" customHeight="1" x14ac:dyDescent="0.35">
      <c r="B142" s="4"/>
      <c r="C142" s="4"/>
      <c r="D142" s="4"/>
    </row>
    <row r="143" spans="2:4" ht="14.25" customHeight="1" x14ac:dyDescent="0.35">
      <c r="B143" s="4"/>
      <c r="C143" s="4"/>
      <c r="D143" s="4"/>
    </row>
    <row r="144" spans="2:4" ht="14.25" customHeight="1" x14ac:dyDescent="0.35">
      <c r="B144" s="4"/>
      <c r="C144" s="4"/>
      <c r="D144" s="4"/>
    </row>
    <row r="145" spans="2:4" ht="14.25" customHeight="1" x14ac:dyDescent="0.35">
      <c r="B145" s="4"/>
      <c r="C145" s="4"/>
      <c r="D145" s="4"/>
    </row>
    <row r="146" spans="2:4" ht="14.25" customHeight="1" x14ac:dyDescent="0.35">
      <c r="B146" s="4"/>
      <c r="C146" s="4"/>
      <c r="D146" s="4"/>
    </row>
    <row r="147" spans="2:4" ht="14.25" customHeight="1" x14ac:dyDescent="0.35">
      <c r="B147" s="4"/>
      <c r="C147" s="4"/>
      <c r="D147" s="4"/>
    </row>
    <row r="148" spans="2:4" ht="14.25" customHeight="1" x14ac:dyDescent="0.35">
      <c r="B148" s="4"/>
      <c r="C148" s="4"/>
      <c r="D148" s="4"/>
    </row>
    <row r="149" spans="2:4" ht="14.25" customHeight="1" x14ac:dyDescent="0.35">
      <c r="B149" s="4"/>
      <c r="C149" s="4"/>
      <c r="D149" s="4"/>
    </row>
    <row r="150" spans="2:4" ht="14.25" customHeight="1" x14ac:dyDescent="0.35">
      <c r="B150" s="4"/>
      <c r="C150" s="4"/>
      <c r="D150" s="4"/>
    </row>
    <row r="151" spans="2:4" ht="14.25" customHeight="1" x14ac:dyDescent="0.35">
      <c r="B151" s="4"/>
      <c r="C151" s="4"/>
      <c r="D151" s="4"/>
    </row>
    <row r="152" spans="2:4" ht="14.25" customHeight="1" x14ac:dyDescent="0.35">
      <c r="B152" s="4"/>
      <c r="C152" s="4"/>
      <c r="D152" s="4"/>
    </row>
    <row r="153" spans="2:4" ht="14.25" customHeight="1" x14ac:dyDescent="0.35">
      <c r="B153" s="4"/>
      <c r="C153" s="4"/>
      <c r="D153" s="4"/>
    </row>
    <row r="154" spans="2:4" ht="14.25" customHeight="1" x14ac:dyDescent="0.35">
      <c r="B154" s="4"/>
      <c r="C154" s="4"/>
      <c r="D154" s="4"/>
    </row>
    <row r="155" spans="2:4" ht="14.25" customHeight="1" x14ac:dyDescent="0.35">
      <c r="B155" s="4"/>
      <c r="C155" s="4"/>
      <c r="D155" s="4"/>
    </row>
    <row r="156" spans="2:4" ht="14.25" customHeight="1" x14ac:dyDescent="0.35">
      <c r="B156" s="4"/>
      <c r="C156" s="4"/>
      <c r="D156" s="4"/>
    </row>
    <row r="157" spans="2:4" ht="14.25" customHeight="1" x14ac:dyDescent="0.35">
      <c r="B157" s="4"/>
      <c r="C157" s="4"/>
      <c r="D157" s="4"/>
    </row>
    <row r="158" spans="2:4" ht="14.25" customHeight="1" x14ac:dyDescent="0.35">
      <c r="B158" s="4"/>
      <c r="C158" s="4"/>
      <c r="D158" s="4"/>
    </row>
    <row r="159" spans="2:4" ht="14.25" customHeight="1" x14ac:dyDescent="0.35">
      <c r="B159" s="4"/>
      <c r="C159" s="4"/>
      <c r="D159" s="4"/>
    </row>
    <row r="160" spans="2:4" ht="14.25" customHeight="1" x14ac:dyDescent="0.35">
      <c r="B160" s="4"/>
      <c r="C160" s="4"/>
      <c r="D160" s="4"/>
    </row>
    <row r="161" spans="2:4" ht="14.25" customHeight="1" x14ac:dyDescent="0.35">
      <c r="B161" s="4"/>
      <c r="C161" s="4"/>
      <c r="D161" s="4"/>
    </row>
    <row r="162" spans="2:4" ht="14.25" customHeight="1" x14ac:dyDescent="0.35">
      <c r="B162" s="4"/>
      <c r="C162" s="4"/>
      <c r="D162" s="4"/>
    </row>
    <row r="163" spans="2:4" ht="14.25" customHeight="1" x14ac:dyDescent="0.35">
      <c r="B163" s="4"/>
      <c r="C163" s="4"/>
      <c r="D163" s="4"/>
    </row>
    <row r="164" spans="2:4" ht="14.25" customHeight="1" x14ac:dyDescent="0.35">
      <c r="B164" s="4"/>
      <c r="C164" s="4"/>
      <c r="D164" s="4"/>
    </row>
    <row r="165" spans="2:4" ht="14.25" customHeight="1" x14ac:dyDescent="0.35">
      <c r="B165" s="4"/>
      <c r="C165" s="4"/>
      <c r="D165" s="4"/>
    </row>
    <row r="166" spans="2:4" ht="14.25" customHeight="1" x14ac:dyDescent="0.35">
      <c r="B166" s="4"/>
      <c r="C166" s="4"/>
      <c r="D166" s="4"/>
    </row>
    <row r="167" spans="2:4" ht="14.25" customHeight="1" x14ac:dyDescent="0.35">
      <c r="B167" s="4"/>
      <c r="C167" s="4"/>
      <c r="D167" s="4"/>
    </row>
    <row r="168" spans="2:4" ht="14.25" customHeight="1" x14ac:dyDescent="0.35">
      <c r="B168" s="4"/>
      <c r="C168" s="4"/>
      <c r="D168" s="4"/>
    </row>
    <row r="169" spans="2:4" ht="14.25" customHeight="1" x14ac:dyDescent="0.35">
      <c r="B169" s="4"/>
      <c r="C169" s="4"/>
      <c r="D169" s="4"/>
    </row>
    <row r="170" spans="2:4" ht="14.25" customHeight="1" x14ac:dyDescent="0.35">
      <c r="B170" s="4"/>
      <c r="C170" s="4"/>
      <c r="D170" s="4"/>
    </row>
    <row r="171" spans="2:4" ht="14.25" customHeight="1" x14ac:dyDescent="0.35">
      <c r="B171" s="4"/>
      <c r="C171" s="4"/>
      <c r="D171" s="4"/>
    </row>
    <row r="172" spans="2:4" ht="14.25" customHeight="1" x14ac:dyDescent="0.35">
      <c r="B172" s="4"/>
      <c r="C172" s="4"/>
      <c r="D172" s="4"/>
    </row>
    <row r="173" spans="2:4" ht="14.25" customHeight="1" x14ac:dyDescent="0.35">
      <c r="B173" s="4"/>
      <c r="C173" s="4"/>
      <c r="D173" s="4"/>
    </row>
    <row r="174" spans="2:4" ht="14.25" customHeight="1" x14ac:dyDescent="0.35">
      <c r="B174" s="4"/>
      <c r="C174" s="4"/>
      <c r="D174" s="4"/>
    </row>
    <row r="175" spans="2:4" ht="14.25" customHeight="1" x14ac:dyDescent="0.35">
      <c r="B175" s="4"/>
      <c r="C175" s="4"/>
      <c r="D175" s="4"/>
    </row>
    <row r="176" spans="2:4" ht="14.25" customHeight="1" x14ac:dyDescent="0.35">
      <c r="B176" s="4"/>
      <c r="C176" s="4"/>
      <c r="D176" s="4"/>
    </row>
    <row r="177" spans="2:4" ht="14.25" customHeight="1" x14ac:dyDescent="0.35">
      <c r="B177" s="4"/>
      <c r="C177" s="4"/>
      <c r="D177" s="4"/>
    </row>
    <row r="178" spans="2:4" ht="14.25" customHeight="1" x14ac:dyDescent="0.35">
      <c r="B178" s="4"/>
      <c r="C178" s="4"/>
      <c r="D178" s="4"/>
    </row>
    <row r="179" spans="2:4" ht="14.25" customHeight="1" x14ac:dyDescent="0.35">
      <c r="B179" s="4"/>
      <c r="C179" s="4"/>
      <c r="D179" s="4"/>
    </row>
    <row r="180" spans="2:4" ht="14.25" customHeight="1" x14ac:dyDescent="0.35">
      <c r="B180" s="4"/>
      <c r="C180" s="4"/>
      <c r="D180" s="4"/>
    </row>
    <row r="181" spans="2:4" ht="14.25" customHeight="1" x14ac:dyDescent="0.35">
      <c r="B181" s="4"/>
      <c r="C181" s="4"/>
      <c r="D181" s="4"/>
    </row>
    <row r="182" spans="2:4" ht="14.25" customHeight="1" x14ac:dyDescent="0.35">
      <c r="B182" s="4"/>
      <c r="C182" s="4"/>
      <c r="D182" s="4"/>
    </row>
    <row r="183" spans="2:4" ht="14.25" customHeight="1" x14ac:dyDescent="0.35">
      <c r="B183" s="4"/>
      <c r="C183" s="4"/>
      <c r="D183" s="4"/>
    </row>
    <row r="184" spans="2:4" ht="14.25" customHeight="1" x14ac:dyDescent="0.35">
      <c r="B184" s="4"/>
      <c r="C184" s="4"/>
      <c r="D184" s="4"/>
    </row>
    <row r="185" spans="2:4" ht="14.25" customHeight="1" x14ac:dyDescent="0.35">
      <c r="B185" s="4"/>
      <c r="C185" s="4"/>
      <c r="D185" s="4"/>
    </row>
    <row r="186" spans="2:4" ht="14.25" customHeight="1" x14ac:dyDescent="0.35">
      <c r="B186" s="4"/>
      <c r="C186" s="4"/>
      <c r="D186" s="4"/>
    </row>
    <row r="187" spans="2:4" ht="14.25" customHeight="1" x14ac:dyDescent="0.35">
      <c r="B187" s="4"/>
      <c r="C187" s="4"/>
      <c r="D187" s="4"/>
    </row>
    <row r="188" spans="2:4" ht="14.25" customHeight="1" x14ac:dyDescent="0.35">
      <c r="B188" s="4"/>
      <c r="C188" s="4"/>
      <c r="D188" s="4"/>
    </row>
    <row r="189" spans="2:4" ht="14.25" customHeight="1" x14ac:dyDescent="0.35">
      <c r="B189" s="4"/>
      <c r="C189" s="4"/>
      <c r="D189" s="4"/>
    </row>
    <row r="190" spans="2:4" ht="14.25" customHeight="1" x14ac:dyDescent="0.35">
      <c r="B190" s="4"/>
      <c r="C190" s="4"/>
      <c r="D190" s="4"/>
    </row>
    <row r="191" spans="2:4" ht="14.25" customHeight="1" x14ac:dyDescent="0.35">
      <c r="B191" s="4"/>
      <c r="C191" s="4"/>
      <c r="D191" s="4"/>
    </row>
    <row r="192" spans="2:4" ht="14.25" customHeight="1" x14ac:dyDescent="0.35">
      <c r="B192" s="4"/>
      <c r="C192" s="4"/>
      <c r="D192" s="4"/>
    </row>
    <row r="193" spans="2:4" ht="14.25" customHeight="1" x14ac:dyDescent="0.35">
      <c r="B193" s="4"/>
      <c r="C193" s="4"/>
      <c r="D193" s="4"/>
    </row>
    <row r="194" spans="2:4" ht="14.25" customHeight="1" x14ac:dyDescent="0.35">
      <c r="B194" s="4"/>
      <c r="C194" s="4"/>
      <c r="D194" s="4"/>
    </row>
    <row r="195" spans="2:4" ht="14.25" customHeight="1" x14ac:dyDescent="0.35">
      <c r="B195" s="4"/>
      <c r="C195" s="4"/>
      <c r="D195" s="4"/>
    </row>
    <row r="196" spans="2:4" ht="14.25" customHeight="1" x14ac:dyDescent="0.35">
      <c r="B196" s="4"/>
      <c r="C196" s="4"/>
      <c r="D196" s="4"/>
    </row>
    <row r="197" spans="2:4" ht="14.25" customHeight="1" x14ac:dyDescent="0.35">
      <c r="B197" s="4"/>
      <c r="C197" s="4"/>
      <c r="D197" s="4"/>
    </row>
    <row r="198" spans="2:4" ht="14.25" customHeight="1" x14ac:dyDescent="0.35">
      <c r="B198" s="4"/>
      <c r="C198" s="4"/>
      <c r="D198" s="4"/>
    </row>
    <row r="199" spans="2:4" ht="14.25" customHeight="1" x14ac:dyDescent="0.35">
      <c r="B199" s="4"/>
      <c r="C199" s="4"/>
      <c r="D199" s="4"/>
    </row>
    <row r="200" spans="2:4" ht="14.25" customHeight="1" x14ac:dyDescent="0.35">
      <c r="B200" s="4"/>
      <c r="C200" s="4"/>
      <c r="D200" s="4"/>
    </row>
    <row r="201" spans="2:4" ht="14.25" customHeight="1" x14ac:dyDescent="0.35">
      <c r="B201" s="4"/>
      <c r="C201" s="4"/>
      <c r="D201" s="4"/>
    </row>
    <row r="202" spans="2:4" ht="14.25" customHeight="1" x14ac:dyDescent="0.35">
      <c r="B202" s="4"/>
      <c r="C202" s="4"/>
      <c r="D202" s="4"/>
    </row>
    <row r="203" spans="2:4" ht="14.25" customHeight="1" x14ac:dyDescent="0.35">
      <c r="B203" s="4"/>
      <c r="C203" s="4"/>
      <c r="D203" s="4"/>
    </row>
    <row r="204" spans="2:4" ht="14.25" customHeight="1" x14ac:dyDescent="0.35">
      <c r="B204" s="4"/>
      <c r="C204" s="4"/>
      <c r="D204" s="4"/>
    </row>
    <row r="205" spans="2:4" ht="14.25" customHeight="1" x14ac:dyDescent="0.35">
      <c r="B205" s="4"/>
      <c r="C205" s="4"/>
      <c r="D205" s="4"/>
    </row>
    <row r="206" spans="2:4" ht="14.25" customHeight="1" x14ac:dyDescent="0.35">
      <c r="B206" s="4"/>
      <c r="C206" s="4"/>
      <c r="D206" s="4"/>
    </row>
    <row r="207" spans="2:4" ht="14.25" customHeight="1" x14ac:dyDescent="0.35">
      <c r="B207" s="4"/>
      <c r="C207" s="4"/>
      <c r="D207" s="4"/>
    </row>
    <row r="208" spans="2:4" ht="14.25" customHeight="1" x14ac:dyDescent="0.35">
      <c r="B208" s="4"/>
      <c r="C208" s="4"/>
      <c r="D208" s="4"/>
    </row>
    <row r="209" spans="2:4" ht="14.25" customHeight="1" x14ac:dyDescent="0.35">
      <c r="B209" s="4"/>
      <c r="C209" s="4"/>
      <c r="D209" s="4"/>
    </row>
    <row r="210" spans="2:4" ht="14.25" customHeight="1" x14ac:dyDescent="0.35">
      <c r="B210" s="4"/>
      <c r="C210" s="4"/>
      <c r="D210" s="4"/>
    </row>
    <row r="211" spans="2:4" ht="14.25" customHeight="1" x14ac:dyDescent="0.35">
      <c r="B211" s="4"/>
      <c r="C211" s="4"/>
      <c r="D211" s="4"/>
    </row>
    <row r="212" spans="2:4" ht="14.25" customHeight="1" x14ac:dyDescent="0.35">
      <c r="B212" s="4"/>
      <c r="C212" s="4"/>
      <c r="D212" s="4"/>
    </row>
    <row r="213" spans="2:4" ht="14.25" customHeight="1" x14ac:dyDescent="0.35">
      <c r="B213" s="4"/>
      <c r="C213" s="4"/>
      <c r="D213" s="4"/>
    </row>
    <row r="214" spans="2:4" ht="14.25" customHeight="1" x14ac:dyDescent="0.35">
      <c r="B214" s="4"/>
      <c r="C214" s="4"/>
      <c r="D214" s="4"/>
    </row>
    <row r="215" spans="2:4" ht="14.25" customHeight="1" x14ac:dyDescent="0.35">
      <c r="B215" s="4"/>
      <c r="C215" s="4"/>
      <c r="D215" s="4"/>
    </row>
    <row r="216" spans="2:4" ht="14.25" customHeight="1" x14ac:dyDescent="0.35">
      <c r="B216" s="4"/>
      <c r="C216" s="4"/>
      <c r="D216" s="4"/>
    </row>
    <row r="217" spans="2:4" ht="14.25" customHeight="1" x14ac:dyDescent="0.35">
      <c r="B217" s="4"/>
      <c r="C217" s="4"/>
      <c r="D217" s="4"/>
    </row>
    <row r="218" spans="2:4" ht="14.25" customHeight="1" x14ac:dyDescent="0.35">
      <c r="B218" s="4"/>
      <c r="C218" s="4"/>
      <c r="D218" s="4"/>
    </row>
    <row r="219" spans="2:4" ht="14.25" customHeight="1" x14ac:dyDescent="0.35">
      <c r="B219" s="4"/>
      <c r="C219" s="4"/>
      <c r="D219" s="4"/>
    </row>
    <row r="220" spans="2:4" ht="14.25" customHeight="1" x14ac:dyDescent="0.35">
      <c r="B220" s="4"/>
      <c r="C220" s="4"/>
      <c r="D220" s="4"/>
    </row>
    <row r="221" spans="2:4" ht="14.25" customHeight="1" x14ac:dyDescent="0.35">
      <c r="B221" s="4"/>
      <c r="C221" s="4"/>
      <c r="D221" s="4"/>
    </row>
    <row r="222" spans="2:4" ht="14.25" customHeight="1" x14ac:dyDescent="0.35">
      <c r="B222" s="4"/>
      <c r="C222" s="4"/>
      <c r="D222" s="4"/>
    </row>
    <row r="223" spans="2:4" ht="14.25" customHeight="1" x14ac:dyDescent="0.35">
      <c r="B223" s="4"/>
      <c r="C223" s="4"/>
      <c r="D223" s="4"/>
    </row>
    <row r="224" spans="2:4" ht="14.25" customHeight="1" x14ac:dyDescent="0.35">
      <c r="B224" s="4"/>
      <c r="C224" s="4"/>
      <c r="D224" s="4"/>
    </row>
    <row r="225" spans="2:4" ht="14.25" customHeight="1" x14ac:dyDescent="0.35">
      <c r="B225" s="4"/>
      <c r="C225" s="4"/>
      <c r="D225" s="4"/>
    </row>
    <row r="226" spans="2:4" ht="14.25" customHeight="1" x14ac:dyDescent="0.35">
      <c r="B226" s="4"/>
      <c r="C226" s="4"/>
      <c r="D226" s="4"/>
    </row>
    <row r="227" spans="2:4" ht="14.25" customHeight="1" x14ac:dyDescent="0.35">
      <c r="B227" s="4"/>
      <c r="C227" s="4"/>
      <c r="D227" s="4"/>
    </row>
    <row r="228" spans="2:4" ht="14.25" customHeight="1" x14ac:dyDescent="0.35">
      <c r="B228" s="4"/>
      <c r="C228" s="4"/>
      <c r="D228" s="4"/>
    </row>
    <row r="229" spans="2:4" ht="14.25" customHeight="1" x14ac:dyDescent="0.35">
      <c r="B229" s="4"/>
      <c r="C229" s="4"/>
      <c r="D229" s="4"/>
    </row>
    <row r="230" spans="2:4" ht="14.25" customHeight="1" x14ac:dyDescent="0.35">
      <c r="B230" s="4"/>
      <c r="C230" s="4"/>
      <c r="D230" s="4"/>
    </row>
    <row r="231" spans="2:4" ht="14.25" customHeight="1" x14ac:dyDescent="0.35">
      <c r="B231" s="4"/>
      <c r="C231" s="4"/>
      <c r="D231" s="4"/>
    </row>
    <row r="232" spans="2:4" ht="14.25" customHeight="1" x14ac:dyDescent="0.35">
      <c r="B232" s="4"/>
      <c r="C232" s="4"/>
      <c r="D232" s="4"/>
    </row>
    <row r="233" spans="2:4" ht="14.25" customHeight="1" x14ac:dyDescent="0.35">
      <c r="B233" s="4"/>
      <c r="C233" s="4"/>
      <c r="D233" s="4"/>
    </row>
    <row r="234" spans="2:4" ht="14.25" customHeight="1" x14ac:dyDescent="0.35">
      <c r="B234" s="4"/>
      <c r="C234" s="4"/>
      <c r="D234" s="4"/>
    </row>
    <row r="235" spans="2:4" ht="14.25" customHeight="1" x14ac:dyDescent="0.35">
      <c r="B235" s="4"/>
      <c r="C235" s="4"/>
      <c r="D235" s="4"/>
    </row>
    <row r="236" spans="2:4" ht="14.25" customHeight="1" x14ac:dyDescent="0.35">
      <c r="B236" s="4"/>
      <c r="C236" s="4"/>
      <c r="D236" s="4"/>
    </row>
    <row r="237" spans="2:4" ht="14.25" customHeight="1" x14ac:dyDescent="0.35">
      <c r="B237" s="4"/>
      <c r="C237" s="4"/>
      <c r="D237" s="4"/>
    </row>
    <row r="238" spans="2:4" ht="14.25" customHeight="1" x14ac:dyDescent="0.35">
      <c r="B238" s="4"/>
      <c r="C238" s="4"/>
      <c r="D238" s="4"/>
    </row>
    <row r="239" spans="2:4" ht="14.25" customHeight="1" x14ac:dyDescent="0.35">
      <c r="B239" s="4"/>
      <c r="C239" s="4"/>
      <c r="D239" s="4"/>
    </row>
    <row r="240" spans="2:4" ht="14.25" customHeight="1" x14ac:dyDescent="0.35">
      <c r="B240" s="4"/>
      <c r="C240" s="4"/>
      <c r="D240" s="4"/>
    </row>
    <row r="241" spans="2:4" ht="14.25" customHeight="1" x14ac:dyDescent="0.35">
      <c r="B241" s="4"/>
      <c r="C241" s="4"/>
      <c r="D241" s="4"/>
    </row>
    <row r="242" spans="2:4" ht="14.25" customHeight="1" x14ac:dyDescent="0.35">
      <c r="B242" s="4"/>
      <c r="C242" s="4"/>
      <c r="D242" s="4"/>
    </row>
    <row r="243" spans="2:4" ht="14.25" customHeight="1" x14ac:dyDescent="0.35">
      <c r="B243" s="4"/>
      <c r="C243" s="4"/>
      <c r="D243" s="4"/>
    </row>
    <row r="244" spans="2:4" ht="14.25" customHeight="1" x14ac:dyDescent="0.35">
      <c r="B244" s="4"/>
      <c r="C244" s="4"/>
      <c r="D244" s="4"/>
    </row>
    <row r="245" spans="2:4" ht="14.25" customHeight="1" x14ac:dyDescent="0.35">
      <c r="B245" s="4"/>
      <c r="C245" s="4"/>
      <c r="D245" s="4"/>
    </row>
    <row r="246" spans="2:4" ht="14.25" customHeight="1" x14ac:dyDescent="0.35">
      <c r="B246" s="4"/>
      <c r="C246" s="4"/>
      <c r="D246" s="4"/>
    </row>
    <row r="247" spans="2:4" ht="14.25" customHeight="1" x14ac:dyDescent="0.35">
      <c r="B247" s="4"/>
      <c r="C247" s="4"/>
      <c r="D247" s="4"/>
    </row>
    <row r="248" spans="2:4" ht="14.25" customHeight="1" x14ac:dyDescent="0.35">
      <c r="B248" s="4"/>
      <c r="C248" s="4"/>
      <c r="D248" s="4"/>
    </row>
    <row r="249" spans="2:4" ht="14.25" customHeight="1" x14ac:dyDescent="0.35">
      <c r="B249" s="4"/>
      <c r="C249" s="4"/>
      <c r="D249" s="4"/>
    </row>
    <row r="250" spans="2:4" ht="14.25" customHeight="1" x14ac:dyDescent="0.35">
      <c r="B250" s="4"/>
      <c r="C250" s="4"/>
      <c r="D250" s="4"/>
    </row>
    <row r="251" spans="2:4" ht="14.25" customHeight="1" x14ac:dyDescent="0.35">
      <c r="B251" s="4"/>
      <c r="C251" s="4"/>
      <c r="D251" s="4"/>
    </row>
    <row r="252" spans="2:4" ht="14.25" customHeight="1" x14ac:dyDescent="0.35">
      <c r="B252" s="4"/>
      <c r="C252" s="4"/>
      <c r="D252" s="4"/>
    </row>
    <row r="253" spans="2:4" ht="14.25" customHeight="1" x14ac:dyDescent="0.35">
      <c r="B253" s="4"/>
      <c r="C253" s="4"/>
      <c r="D253" s="4"/>
    </row>
    <row r="254" spans="2:4" ht="14.25" customHeight="1" x14ac:dyDescent="0.35">
      <c r="B254" s="4"/>
      <c r="C254" s="4"/>
      <c r="D254" s="4"/>
    </row>
    <row r="255" spans="2:4" ht="14.25" customHeight="1" x14ac:dyDescent="0.35">
      <c r="B255" s="4"/>
      <c r="C255" s="4"/>
      <c r="D255" s="4"/>
    </row>
    <row r="256" spans="2:4" ht="14.25" customHeight="1" x14ac:dyDescent="0.35">
      <c r="B256" s="4"/>
      <c r="C256" s="4"/>
      <c r="D256" s="4"/>
    </row>
    <row r="257" spans="2:4" ht="14.25" customHeight="1" x14ac:dyDescent="0.35">
      <c r="B257" s="4"/>
      <c r="C257" s="4"/>
      <c r="D257" s="4"/>
    </row>
    <row r="258" spans="2:4" ht="14.25" customHeight="1" x14ac:dyDescent="0.35">
      <c r="B258" s="4"/>
      <c r="C258" s="4"/>
      <c r="D258" s="4"/>
    </row>
    <row r="259" spans="2:4" ht="14.25" customHeight="1" x14ac:dyDescent="0.35">
      <c r="B259" s="4"/>
      <c r="C259" s="4"/>
      <c r="D259" s="4"/>
    </row>
    <row r="260" spans="2:4" ht="14.25" customHeight="1" x14ac:dyDescent="0.35">
      <c r="B260" s="4"/>
      <c r="C260" s="4"/>
      <c r="D260" s="4"/>
    </row>
    <row r="261" spans="2:4" ht="14.25" customHeight="1" x14ac:dyDescent="0.35">
      <c r="B261" s="4"/>
      <c r="C261" s="4"/>
      <c r="D261" s="4"/>
    </row>
    <row r="262" spans="2:4" ht="14.25" customHeight="1" x14ac:dyDescent="0.35">
      <c r="B262" s="4"/>
      <c r="C262" s="4"/>
      <c r="D262" s="4"/>
    </row>
    <row r="263" spans="2:4" ht="14.25" customHeight="1" x14ac:dyDescent="0.35">
      <c r="B263" s="4"/>
      <c r="C263" s="4"/>
      <c r="D263" s="4"/>
    </row>
    <row r="264" spans="2:4" ht="14.25" customHeight="1" x14ac:dyDescent="0.35">
      <c r="B264" s="4"/>
      <c r="C264" s="4"/>
      <c r="D264" s="4"/>
    </row>
    <row r="265" spans="2:4" ht="14.25" customHeight="1" x14ac:dyDescent="0.35">
      <c r="B265" s="4"/>
      <c r="C265" s="4"/>
      <c r="D265" s="4"/>
    </row>
    <row r="266" spans="2:4" ht="14.25" customHeight="1" x14ac:dyDescent="0.35">
      <c r="B266" s="4"/>
      <c r="C266" s="4"/>
      <c r="D266" s="4"/>
    </row>
    <row r="267" spans="2:4" ht="14.25" customHeight="1" x14ac:dyDescent="0.35">
      <c r="B267" s="4"/>
      <c r="C267" s="4"/>
      <c r="D267" s="4"/>
    </row>
    <row r="268" spans="2:4" ht="14.25" customHeight="1" x14ac:dyDescent="0.35">
      <c r="B268" s="4"/>
      <c r="C268" s="4"/>
      <c r="D268" s="4"/>
    </row>
    <row r="269" spans="2:4" ht="14.25" customHeight="1" x14ac:dyDescent="0.35">
      <c r="B269" s="4"/>
      <c r="C269" s="4"/>
      <c r="D269" s="4"/>
    </row>
    <row r="270" spans="2:4" ht="14.25" customHeight="1" x14ac:dyDescent="0.35">
      <c r="B270" s="4"/>
      <c r="C270" s="4"/>
      <c r="D270" s="4"/>
    </row>
    <row r="271" spans="2:4" ht="14.25" customHeight="1" x14ac:dyDescent="0.35">
      <c r="B271" s="4"/>
      <c r="C271" s="4"/>
      <c r="D271" s="4"/>
    </row>
    <row r="272" spans="2:4" ht="14.25" customHeight="1" x14ac:dyDescent="0.35">
      <c r="B272" s="4"/>
      <c r="C272" s="4"/>
      <c r="D272" s="4"/>
    </row>
    <row r="273" spans="2:4" ht="14.25" customHeight="1" x14ac:dyDescent="0.35">
      <c r="B273" s="4"/>
      <c r="C273" s="4"/>
      <c r="D273" s="4"/>
    </row>
    <row r="274" spans="2:4" ht="14.25" customHeight="1" x14ac:dyDescent="0.35">
      <c r="B274" s="4"/>
      <c r="C274" s="4"/>
      <c r="D274" s="4"/>
    </row>
    <row r="275" spans="2:4" ht="14.25" customHeight="1" x14ac:dyDescent="0.35">
      <c r="B275" s="4"/>
      <c r="C275" s="4"/>
      <c r="D275" s="4"/>
    </row>
    <row r="276" spans="2:4" ht="14.25" customHeight="1" x14ac:dyDescent="0.35">
      <c r="B276" s="4"/>
      <c r="C276" s="4"/>
      <c r="D276" s="4"/>
    </row>
    <row r="277" spans="2:4" ht="14.25" customHeight="1" x14ac:dyDescent="0.35">
      <c r="B277" s="4"/>
      <c r="C277" s="4"/>
      <c r="D277" s="4"/>
    </row>
    <row r="278" spans="2:4" ht="14.25" customHeight="1" x14ac:dyDescent="0.35">
      <c r="B278" s="4"/>
      <c r="C278" s="4"/>
      <c r="D278" s="4"/>
    </row>
    <row r="279" spans="2:4" ht="14.25" customHeight="1" x14ac:dyDescent="0.35">
      <c r="B279" s="4"/>
      <c r="C279" s="4"/>
      <c r="D279" s="4"/>
    </row>
    <row r="280" spans="2:4" ht="14.25" customHeight="1" x14ac:dyDescent="0.35">
      <c r="B280" s="4"/>
      <c r="C280" s="4"/>
      <c r="D280" s="4"/>
    </row>
    <row r="281" spans="2:4" ht="14.25" customHeight="1" x14ac:dyDescent="0.35">
      <c r="B281" s="4"/>
      <c r="C281" s="4"/>
      <c r="D281" s="4"/>
    </row>
    <row r="282" spans="2:4" ht="14.25" customHeight="1" x14ac:dyDescent="0.35">
      <c r="B282" s="4"/>
      <c r="C282" s="4"/>
      <c r="D282" s="4"/>
    </row>
    <row r="283" spans="2:4" ht="14.25" customHeight="1" x14ac:dyDescent="0.35">
      <c r="B283" s="4"/>
      <c r="C283" s="4"/>
      <c r="D283" s="4"/>
    </row>
    <row r="284" spans="2:4" ht="14.25" customHeight="1" x14ac:dyDescent="0.35">
      <c r="B284" s="4"/>
      <c r="C284" s="4"/>
      <c r="D284" s="4"/>
    </row>
    <row r="285" spans="2:4" ht="14.25" customHeight="1" x14ac:dyDescent="0.35">
      <c r="B285" s="4"/>
      <c r="C285" s="4"/>
      <c r="D285" s="4"/>
    </row>
    <row r="286" spans="2:4" ht="14.25" customHeight="1" x14ac:dyDescent="0.35">
      <c r="B286" s="4"/>
      <c r="C286" s="4"/>
      <c r="D286" s="4"/>
    </row>
    <row r="287" spans="2:4" ht="14.25" customHeight="1" x14ac:dyDescent="0.35">
      <c r="B287" s="4"/>
      <c r="C287" s="4"/>
      <c r="D287" s="4"/>
    </row>
    <row r="288" spans="2:4" ht="14.25" customHeight="1" x14ac:dyDescent="0.35">
      <c r="B288" s="4"/>
      <c r="C288" s="4"/>
      <c r="D288" s="4"/>
    </row>
    <row r="289" spans="2:4" ht="14.25" customHeight="1" x14ac:dyDescent="0.35">
      <c r="B289" s="4"/>
      <c r="C289" s="4"/>
      <c r="D289" s="4"/>
    </row>
    <row r="290" spans="2:4" ht="14.25" customHeight="1" x14ac:dyDescent="0.35">
      <c r="B290" s="4"/>
      <c r="C290" s="4"/>
      <c r="D290" s="4"/>
    </row>
    <row r="291" spans="2:4" ht="14.25" customHeight="1" x14ac:dyDescent="0.35">
      <c r="B291" s="4"/>
      <c r="C291" s="4"/>
      <c r="D291" s="4"/>
    </row>
    <row r="292" spans="2:4" ht="14.25" customHeight="1" x14ac:dyDescent="0.35">
      <c r="B292" s="4"/>
      <c r="C292" s="4"/>
      <c r="D292" s="4"/>
    </row>
    <row r="293" spans="2:4" ht="14.25" customHeight="1" x14ac:dyDescent="0.35">
      <c r="B293" s="4"/>
      <c r="C293" s="4"/>
      <c r="D293" s="4"/>
    </row>
    <row r="294" spans="2:4" ht="14.25" customHeight="1" x14ac:dyDescent="0.35">
      <c r="B294" s="4"/>
      <c r="C294" s="4"/>
      <c r="D294" s="4"/>
    </row>
    <row r="295" spans="2:4" ht="14.25" customHeight="1" x14ac:dyDescent="0.35">
      <c r="B295" s="4"/>
      <c r="C295" s="4"/>
      <c r="D295" s="4"/>
    </row>
    <row r="296" spans="2:4" ht="14.25" customHeight="1" x14ac:dyDescent="0.35">
      <c r="B296" s="4"/>
      <c r="C296" s="4"/>
      <c r="D296" s="4"/>
    </row>
    <row r="297" spans="2:4" ht="14.25" customHeight="1" x14ac:dyDescent="0.35">
      <c r="B297" s="4"/>
      <c r="C297" s="4"/>
      <c r="D297" s="4"/>
    </row>
    <row r="298" spans="2:4" ht="14.25" customHeight="1" x14ac:dyDescent="0.35">
      <c r="B298" s="4"/>
      <c r="C298" s="4"/>
      <c r="D298" s="4"/>
    </row>
    <row r="299" spans="2:4" ht="14.25" customHeight="1" x14ac:dyDescent="0.35">
      <c r="B299" s="4"/>
      <c r="C299" s="4"/>
      <c r="D299" s="4"/>
    </row>
    <row r="300" spans="2:4" ht="14.25" customHeight="1" x14ac:dyDescent="0.35">
      <c r="B300" s="4"/>
      <c r="C300" s="4"/>
      <c r="D300" s="4"/>
    </row>
    <row r="301" spans="2:4" ht="14.25" customHeight="1" x14ac:dyDescent="0.35">
      <c r="B301" s="4"/>
      <c r="C301" s="4"/>
      <c r="D301" s="4"/>
    </row>
    <row r="302" spans="2:4" ht="14.25" customHeight="1" x14ac:dyDescent="0.35">
      <c r="B302" s="4"/>
      <c r="C302" s="4"/>
      <c r="D302" s="4"/>
    </row>
    <row r="303" spans="2:4" ht="14.25" customHeight="1" x14ac:dyDescent="0.35">
      <c r="B303" s="4"/>
      <c r="C303" s="4"/>
      <c r="D303" s="4"/>
    </row>
    <row r="304" spans="2:4" ht="14.25" customHeight="1" x14ac:dyDescent="0.35">
      <c r="B304" s="4"/>
      <c r="C304" s="4"/>
      <c r="D304" s="4"/>
    </row>
    <row r="305" spans="2:4" ht="14.25" customHeight="1" x14ac:dyDescent="0.35">
      <c r="B305" s="4"/>
      <c r="C305" s="4"/>
      <c r="D305" s="4"/>
    </row>
    <row r="306" spans="2:4" ht="14.25" customHeight="1" x14ac:dyDescent="0.35">
      <c r="B306" s="4"/>
      <c r="C306" s="4"/>
      <c r="D306" s="4"/>
    </row>
    <row r="307" spans="2:4" ht="14.25" customHeight="1" x14ac:dyDescent="0.35">
      <c r="B307" s="4"/>
      <c r="C307" s="4"/>
      <c r="D307" s="4"/>
    </row>
    <row r="308" spans="2:4" ht="14.25" customHeight="1" x14ac:dyDescent="0.35">
      <c r="B308" s="4"/>
      <c r="C308" s="4"/>
      <c r="D308" s="4"/>
    </row>
    <row r="309" spans="2:4" ht="14.25" customHeight="1" x14ac:dyDescent="0.35">
      <c r="B309" s="4"/>
      <c r="C309" s="4"/>
      <c r="D309" s="4"/>
    </row>
    <row r="310" spans="2:4" ht="14.25" customHeight="1" x14ac:dyDescent="0.35">
      <c r="B310" s="4"/>
      <c r="C310" s="4"/>
      <c r="D310" s="4"/>
    </row>
    <row r="311" spans="2:4" ht="14.25" customHeight="1" x14ac:dyDescent="0.35">
      <c r="B311" s="4"/>
      <c r="C311" s="4"/>
      <c r="D311" s="4"/>
    </row>
    <row r="312" spans="2:4" ht="14.25" customHeight="1" x14ac:dyDescent="0.35">
      <c r="B312" s="4"/>
      <c r="C312" s="4"/>
      <c r="D312" s="4"/>
    </row>
    <row r="313" spans="2:4" ht="14.25" customHeight="1" x14ac:dyDescent="0.35">
      <c r="B313" s="4"/>
      <c r="C313" s="4"/>
      <c r="D313" s="4"/>
    </row>
    <row r="314" spans="2:4" ht="14.25" customHeight="1" x14ac:dyDescent="0.35">
      <c r="B314" s="4"/>
      <c r="C314" s="4"/>
      <c r="D314" s="4"/>
    </row>
    <row r="315" spans="2:4" ht="14.25" customHeight="1" x14ac:dyDescent="0.35">
      <c r="B315" s="4"/>
      <c r="C315" s="4"/>
      <c r="D315" s="4"/>
    </row>
    <row r="316" spans="2:4" ht="14.25" customHeight="1" x14ac:dyDescent="0.35">
      <c r="B316" s="4"/>
      <c r="C316" s="4"/>
      <c r="D316" s="4"/>
    </row>
    <row r="317" spans="2:4" ht="14.25" customHeight="1" x14ac:dyDescent="0.35">
      <c r="B317" s="4"/>
      <c r="C317" s="4"/>
      <c r="D317" s="4"/>
    </row>
    <row r="318" spans="2:4" ht="14.25" customHeight="1" x14ac:dyDescent="0.35">
      <c r="B318" s="4"/>
      <c r="C318" s="4"/>
      <c r="D318" s="4"/>
    </row>
    <row r="319" spans="2:4" ht="14.25" customHeight="1" x14ac:dyDescent="0.35">
      <c r="B319" s="4"/>
      <c r="C319" s="4"/>
      <c r="D319" s="4"/>
    </row>
    <row r="320" spans="2:4" ht="14.25" customHeight="1" x14ac:dyDescent="0.35">
      <c r="B320" s="4"/>
      <c r="C320" s="4"/>
      <c r="D320" s="4"/>
    </row>
    <row r="321" spans="2:4" ht="14.25" customHeight="1" x14ac:dyDescent="0.35">
      <c r="B321" s="4"/>
      <c r="C321" s="4"/>
      <c r="D321" s="4"/>
    </row>
    <row r="322" spans="2:4" ht="14.25" customHeight="1" x14ac:dyDescent="0.35">
      <c r="B322" s="4"/>
      <c r="C322" s="4"/>
      <c r="D322" s="4"/>
    </row>
    <row r="323" spans="2:4" ht="14.25" customHeight="1" x14ac:dyDescent="0.35">
      <c r="B323" s="4"/>
      <c r="C323" s="4"/>
      <c r="D323" s="4"/>
    </row>
    <row r="324" spans="2:4" ht="14.25" customHeight="1" x14ac:dyDescent="0.35">
      <c r="B324" s="4"/>
      <c r="C324" s="4"/>
      <c r="D324" s="4"/>
    </row>
    <row r="325" spans="2:4" ht="14.25" customHeight="1" x14ac:dyDescent="0.35">
      <c r="B325" s="4"/>
      <c r="C325" s="4"/>
      <c r="D325" s="4"/>
    </row>
    <row r="326" spans="2:4" ht="14.25" customHeight="1" x14ac:dyDescent="0.35">
      <c r="B326" s="4"/>
      <c r="C326" s="4"/>
      <c r="D326" s="4"/>
    </row>
    <row r="327" spans="2:4" ht="14.25" customHeight="1" x14ac:dyDescent="0.35">
      <c r="B327" s="4"/>
      <c r="C327" s="4"/>
      <c r="D327" s="4"/>
    </row>
    <row r="328" spans="2:4" ht="14.25" customHeight="1" x14ac:dyDescent="0.35">
      <c r="B328" s="4"/>
      <c r="C328" s="4"/>
      <c r="D328" s="4"/>
    </row>
    <row r="329" spans="2:4" ht="14.25" customHeight="1" x14ac:dyDescent="0.35">
      <c r="B329" s="4"/>
      <c r="C329" s="4"/>
      <c r="D329" s="4"/>
    </row>
    <row r="330" spans="2:4" ht="14.25" customHeight="1" x14ac:dyDescent="0.35">
      <c r="B330" s="4"/>
      <c r="C330" s="4"/>
      <c r="D330" s="4"/>
    </row>
    <row r="331" spans="2:4" ht="14.25" customHeight="1" x14ac:dyDescent="0.35">
      <c r="B331" s="4"/>
      <c r="C331" s="4"/>
      <c r="D331" s="4"/>
    </row>
    <row r="332" spans="2:4" ht="14.25" customHeight="1" x14ac:dyDescent="0.35">
      <c r="B332" s="4"/>
      <c r="C332" s="4"/>
      <c r="D332" s="4"/>
    </row>
    <row r="333" spans="2:4" ht="14.25" customHeight="1" x14ac:dyDescent="0.35">
      <c r="B333" s="4"/>
      <c r="C333" s="4"/>
      <c r="D333" s="4"/>
    </row>
    <row r="334" spans="2:4" ht="14.25" customHeight="1" x14ac:dyDescent="0.35">
      <c r="B334" s="4"/>
      <c r="C334" s="4"/>
      <c r="D334" s="4"/>
    </row>
    <row r="335" spans="2:4" ht="14.25" customHeight="1" x14ac:dyDescent="0.35">
      <c r="B335" s="4"/>
      <c r="C335" s="4"/>
      <c r="D335" s="4"/>
    </row>
    <row r="336" spans="2:4" ht="14.25" customHeight="1" x14ac:dyDescent="0.35">
      <c r="B336" s="4"/>
      <c r="C336" s="4"/>
      <c r="D336" s="4"/>
    </row>
    <row r="337" spans="2:4" ht="14.25" customHeight="1" x14ac:dyDescent="0.35">
      <c r="B337" s="4"/>
      <c r="C337" s="4"/>
      <c r="D337" s="4"/>
    </row>
    <row r="338" spans="2:4" ht="14.25" customHeight="1" x14ac:dyDescent="0.35">
      <c r="B338" s="4"/>
      <c r="C338" s="4"/>
      <c r="D338" s="4"/>
    </row>
    <row r="339" spans="2:4" ht="14.25" customHeight="1" x14ac:dyDescent="0.35">
      <c r="B339" s="4"/>
      <c r="C339" s="4"/>
      <c r="D339" s="4"/>
    </row>
    <row r="340" spans="2:4" ht="14.25" customHeight="1" x14ac:dyDescent="0.35">
      <c r="B340" s="4"/>
      <c r="C340" s="4"/>
      <c r="D340" s="4"/>
    </row>
    <row r="341" spans="2:4" ht="14.25" customHeight="1" x14ac:dyDescent="0.35">
      <c r="B341" s="4"/>
      <c r="C341" s="4"/>
      <c r="D341" s="4"/>
    </row>
    <row r="342" spans="2:4" ht="14.25" customHeight="1" x14ac:dyDescent="0.35">
      <c r="B342" s="4"/>
      <c r="C342" s="4"/>
      <c r="D342" s="4"/>
    </row>
    <row r="343" spans="2:4" ht="14.25" customHeight="1" x14ac:dyDescent="0.35">
      <c r="B343" s="4"/>
      <c r="C343" s="4"/>
      <c r="D343" s="4"/>
    </row>
    <row r="344" spans="2:4" ht="14.25" customHeight="1" x14ac:dyDescent="0.35">
      <c r="B344" s="4"/>
      <c r="C344" s="4"/>
      <c r="D344" s="4"/>
    </row>
    <row r="345" spans="2:4" ht="14.25" customHeight="1" x14ac:dyDescent="0.35">
      <c r="B345" s="4"/>
      <c r="C345" s="4"/>
      <c r="D345" s="4"/>
    </row>
    <row r="346" spans="2:4" ht="14.25" customHeight="1" x14ac:dyDescent="0.35">
      <c r="B346" s="4"/>
      <c r="C346" s="4"/>
      <c r="D346" s="4"/>
    </row>
    <row r="347" spans="2:4" ht="14.25" customHeight="1" x14ac:dyDescent="0.35">
      <c r="B347" s="4"/>
      <c r="C347" s="4"/>
      <c r="D347" s="4"/>
    </row>
    <row r="348" spans="2:4" ht="14.25" customHeight="1" x14ac:dyDescent="0.35">
      <c r="B348" s="4"/>
      <c r="C348" s="4"/>
      <c r="D348" s="4"/>
    </row>
    <row r="349" spans="2:4" ht="14.25" customHeight="1" x14ac:dyDescent="0.35">
      <c r="B349" s="4"/>
      <c r="C349" s="4"/>
      <c r="D349" s="4"/>
    </row>
    <row r="350" spans="2:4" ht="14.25" customHeight="1" x14ac:dyDescent="0.35">
      <c r="B350" s="4"/>
      <c r="C350" s="4"/>
      <c r="D350" s="4"/>
    </row>
    <row r="351" spans="2:4" ht="14.25" customHeight="1" x14ac:dyDescent="0.35">
      <c r="B351" s="4"/>
      <c r="C351" s="4"/>
      <c r="D351" s="4"/>
    </row>
    <row r="352" spans="2:4" ht="14.25" customHeight="1" x14ac:dyDescent="0.35">
      <c r="B352" s="4"/>
      <c r="C352" s="4"/>
      <c r="D352" s="4"/>
    </row>
    <row r="353" spans="2:4" ht="14.25" customHeight="1" x14ac:dyDescent="0.35">
      <c r="B353" s="4"/>
      <c r="C353" s="4"/>
      <c r="D353" s="4"/>
    </row>
    <row r="354" spans="2:4" ht="14.25" customHeight="1" x14ac:dyDescent="0.35">
      <c r="B354" s="4"/>
      <c r="C354" s="4"/>
      <c r="D354" s="4"/>
    </row>
    <row r="355" spans="2:4" ht="14.25" customHeight="1" x14ac:dyDescent="0.35">
      <c r="B355" s="4"/>
      <c r="C355" s="4"/>
      <c r="D355" s="4"/>
    </row>
    <row r="356" spans="2:4" ht="14.25" customHeight="1" x14ac:dyDescent="0.35">
      <c r="B356" s="4"/>
      <c r="C356" s="4"/>
      <c r="D356" s="4"/>
    </row>
    <row r="357" spans="2:4" ht="14.25" customHeight="1" x14ac:dyDescent="0.35">
      <c r="B357" s="4"/>
      <c r="C357" s="4"/>
      <c r="D357" s="4"/>
    </row>
    <row r="358" spans="2:4" ht="14.25" customHeight="1" x14ac:dyDescent="0.35">
      <c r="B358" s="4"/>
      <c r="C358" s="4"/>
      <c r="D358" s="4"/>
    </row>
    <row r="359" spans="2:4" ht="14.25" customHeight="1" x14ac:dyDescent="0.35">
      <c r="B359" s="4"/>
      <c r="C359" s="4"/>
      <c r="D359" s="4"/>
    </row>
    <row r="360" spans="2:4" ht="14.25" customHeight="1" x14ac:dyDescent="0.35">
      <c r="B360" s="4"/>
      <c r="C360" s="4"/>
      <c r="D360" s="4"/>
    </row>
    <row r="361" spans="2:4" ht="14.25" customHeight="1" x14ac:dyDescent="0.35">
      <c r="B361" s="4"/>
      <c r="C361" s="4"/>
      <c r="D361" s="4"/>
    </row>
    <row r="362" spans="2:4" ht="14.25" customHeight="1" x14ac:dyDescent="0.35">
      <c r="B362" s="4"/>
      <c r="C362" s="4"/>
      <c r="D362" s="4"/>
    </row>
    <row r="363" spans="2:4" ht="14.25" customHeight="1" x14ac:dyDescent="0.35">
      <c r="B363" s="4"/>
      <c r="C363" s="4"/>
      <c r="D363" s="4"/>
    </row>
    <row r="364" spans="2:4" ht="14.25" customHeight="1" x14ac:dyDescent="0.35">
      <c r="B364" s="4"/>
      <c r="C364" s="4"/>
      <c r="D364" s="4"/>
    </row>
    <row r="365" spans="2:4" ht="14.25" customHeight="1" x14ac:dyDescent="0.35">
      <c r="B365" s="4"/>
      <c r="C365" s="4"/>
      <c r="D365" s="4"/>
    </row>
    <row r="366" spans="2:4" ht="14.25" customHeight="1" x14ac:dyDescent="0.35">
      <c r="B366" s="4"/>
      <c r="C366" s="4"/>
      <c r="D366" s="4"/>
    </row>
    <row r="367" spans="2:4" ht="14.25" customHeight="1" x14ac:dyDescent="0.35">
      <c r="B367" s="4"/>
      <c r="C367" s="4"/>
      <c r="D367" s="4"/>
    </row>
    <row r="368" spans="2:4" ht="14.25" customHeight="1" x14ac:dyDescent="0.35">
      <c r="B368" s="4"/>
      <c r="C368" s="4"/>
      <c r="D368" s="4"/>
    </row>
    <row r="369" spans="2:4" ht="14.25" customHeight="1" x14ac:dyDescent="0.35">
      <c r="B369" s="4"/>
      <c r="C369" s="4"/>
      <c r="D369" s="4"/>
    </row>
    <row r="370" spans="2:4" ht="14.25" customHeight="1" x14ac:dyDescent="0.35">
      <c r="B370" s="4"/>
      <c r="C370" s="4"/>
      <c r="D370" s="4"/>
    </row>
    <row r="371" spans="2:4" ht="14.25" customHeight="1" x14ac:dyDescent="0.35">
      <c r="B371" s="4"/>
      <c r="C371" s="4"/>
      <c r="D371" s="4"/>
    </row>
    <row r="372" spans="2:4" ht="14.25" customHeight="1" x14ac:dyDescent="0.35">
      <c r="B372" s="4"/>
      <c r="C372" s="4"/>
      <c r="D372" s="4"/>
    </row>
    <row r="373" spans="2:4" ht="14.25" customHeight="1" x14ac:dyDescent="0.35">
      <c r="B373" s="4"/>
      <c r="C373" s="4"/>
      <c r="D373" s="4"/>
    </row>
    <row r="374" spans="2:4" ht="14.25" customHeight="1" x14ac:dyDescent="0.35">
      <c r="B374" s="4"/>
      <c r="C374" s="4"/>
      <c r="D374" s="4"/>
    </row>
    <row r="375" spans="2:4" ht="14.25" customHeight="1" x14ac:dyDescent="0.35">
      <c r="B375" s="4"/>
      <c r="C375" s="4"/>
      <c r="D375" s="4"/>
    </row>
    <row r="376" spans="2:4" ht="14.25" customHeight="1" x14ac:dyDescent="0.35">
      <c r="B376" s="4"/>
      <c r="C376" s="4"/>
      <c r="D376" s="4"/>
    </row>
    <row r="377" spans="2:4" ht="14.25" customHeight="1" x14ac:dyDescent="0.35">
      <c r="B377" s="4"/>
      <c r="C377" s="4"/>
      <c r="D377" s="4"/>
    </row>
    <row r="378" spans="2:4" ht="14.25" customHeight="1" x14ac:dyDescent="0.35">
      <c r="B378" s="4"/>
      <c r="C378" s="4"/>
      <c r="D378" s="4"/>
    </row>
    <row r="379" spans="2:4" ht="14.25" customHeight="1" x14ac:dyDescent="0.35">
      <c r="B379" s="4"/>
      <c r="C379" s="4"/>
      <c r="D379" s="4"/>
    </row>
    <row r="380" spans="2:4" ht="14.25" customHeight="1" x14ac:dyDescent="0.35">
      <c r="B380" s="4"/>
      <c r="C380" s="4"/>
      <c r="D380" s="4"/>
    </row>
    <row r="381" spans="2:4" ht="14.25" customHeight="1" x14ac:dyDescent="0.35">
      <c r="B381" s="4"/>
      <c r="C381" s="4"/>
      <c r="D381" s="4"/>
    </row>
    <row r="382" spans="2:4" ht="14.25" customHeight="1" x14ac:dyDescent="0.35">
      <c r="B382" s="4"/>
      <c r="C382" s="4"/>
      <c r="D382" s="4"/>
    </row>
    <row r="383" spans="2:4" ht="14.25" customHeight="1" x14ac:dyDescent="0.35">
      <c r="B383" s="4"/>
      <c r="C383" s="4"/>
      <c r="D383" s="4"/>
    </row>
    <row r="384" spans="2:4" ht="14.25" customHeight="1" x14ac:dyDescent="0.35">
      <c r="B384" s="4"/>
      <c r="C384" s="4"/>
      <c r="D384" s="4"/>
    </row>
    <row r="385" spans="2:4" ht="14.25" customHeight="1" x14ac:dyDescent="0.35">
      <c r="B385" s="4"/>
      <c r="C385" s="4"/>
      <c r="D385" s="4"/>
    </row>
    <row r="386" spans="2:4" ht="14.25" customHeight="1" x14ac:dyDescent="0.35">
      <c r="B386" s="4"/>
      <c r="C386" s="4"/>
      <c r="D386" s="4"/>
    </row>
    <row r="387" spans="2:4" ht="14.25" customHeight="1" x14ac:dyDescent="0.35">
      <c r="B387" s="4"/>
      <c r="C387" s="4"/>
      <c r="D387" s="4"/>
    </row>
    <row r="388" spans="2:4" ht="14.25" customHeight="1" x14ac:dyDescent="0.35">
      <c r="B388" s="4"/>
      <c r="C388" s="4"/>
      <c r="D388" s="4"/>
    </row>
    <row r="389" spans="2:4" ht="14.25" customHeight="1" x14ac:dyDescent="0.35">
      <c r="B389" s="4"/>
      <c r="C389" s="4"/>
      <c r="D389" s="4"/>
    </row>
    <row r="390" spans="2:4" ht="14.25" customHeight="1" x14ac:dyDescent="0.35">
      <c r="B390" s="4"/>
      <c r="C390" s="4"/>
      <c r="D390" s="4"/>
    </row>
    <row r="391" spans="2:4" ht="14.25" customHeight="1" x14ac:dyDescent="0.35">
      <c r="B391" s="4"/>
      <c r="C391" s="4"/>
      <c r="D391" s="4"/>
    </row>
    <row r="392" spans="2:4" ht="14.25" customHeight="1" x14ac:dyDescent="0.35">
      <c r="B392" s="4"/>
      <c r="C392" s="4"/>
      <c r="D392" s="4"/>
    </row>
    <row r="393" spans="2:4" ht="14.25" customHeight="1" x14ac:dyDescent="0.35">
      <c r="B393" s="4"/>
      <c r="C393" s="4"/>
      <c r="D393" s="4"/>
    </row>
    <row r="394" spans="2:4" ht="14.25" customHeight="1" x14ac:dyDescent="0.35">
      <c r="B394" s="4"/>
      <c r="C394" s="4"/>
      <c r="D394" s="4"/>
    </row>
    <row r="395" spans="2:4" ht="14.25" customHeight="1" x14ac:dyDescent="0.35">
      <c r="B395" s="4"/>
      <c r="C395" s="4"/>
      <c r="D395" s="4"/>
    </row>
    <row r="396" spans="2:4" ht="14.25" customHeight="1" x14ac:dyDescent="0.35">
      <c r="B396" s="4"/>
      <c r="C396" s="4"/>
      <c r="D396" s="4"/>
    </row>
    <row r="397" spans="2:4" ht="14.25" customHeight="1" x14ac:dyDescent="0.35">
      <c r="B397" s="4"/>
      <c r="C397" s="4"/>
      <c r="D397" s="4"/>
    </row>
    <row r="398" spans="2:4" ht="14.25" customHeight="1" x14ac:dyDescent="0.35">
      <c r="B398" s="4"/>
      <c r="C398" s="4"/>
      <c r="D398" s="4"/>
    </row>
    <row r="399" spans="2:4" ht="14.25" customHeight="1" x14ac:dyDescent="0.35">
      <c r="B399" s="4"/>
      <c r="C399" s="4"/>
      <c r="D399" s="4"/>
    </row>
    <row r="400" spans="2:4" ht="14.25" customHeight="1" x14ac:dyDescent="0.35">
      <c r="B400" s="4"/>
      <c r="C400" s="4"/>
      <c r="D400" s="4"/>
    </row>
    <row r="401" spans="2:4" ht="14.25" customHeight="1" x14ac:dyDescent="0.35">
      <c r="B401" s="4"/>
      <c r="C401" s="4"/>
      <c r="D401" s="4"/>
    </row>
    <row r="402" spans="2:4" ht="14.25" customHeight="1" x14ac:dyDescent="0.35">
      <c r="B402" s="4"/>
      <c r="C402" s="4"/>
      <c r="D402" s="4"/>
    </row>
    <row r="403" spans="2:4" ht="14.25" customHeight="1" x14ac:dyDescent="0.35">
      <c r="B403" s="4"/>
      <c r="C403" s="4"/>
      <c r="D403" s="4"/>
    </row>
    <row r="404" spans="2:4" ht="14.25" customHeight="1" x14ac:dyDescent="0.35">
      <c r="B404" s="4"/>
      <c r="C404" s="4"/>
      <c r="D404" s="4"/>
    </row>
    <row r="405" spans="2:4" ht="14.25" customHeight="1" x14ac:dyDescent="0.35">
      <c r="B405" s="4"/>
      <c r="C405" s="4"/>
      <c r="D405" s="4"/>
    </row>
    <row r="406" spans="2:4" ht="14.25" customHeight="1" x14ac:dyDescent="0.35">
      <c r="B406" s="4"/>
      <c r="C406" s="4"/>
      <c r="D406" s="4"/>
    </row>
    <row r="407" spans="2:4" ht="14.25" customHeight="1" x14ac:dyDescent="0.35">
      <c r="B407" s="4"/>
      <c r="C407" s="4"/>
      <c r="D407" s="4"/>
    </row>
    <row r="408" spans="2:4" ht="14.25" customHeight="1" x14ac:dyDescent="0.35">
      <c r="B408" s="4"/>
      <c r="C408" s="4"/>
      <c r="D408" s="4"/>
    </row>
    <row r="409" spans="2:4" ht="14.25" customHeight="1" x14ac:dyDescent="0.35">
      <c r="B409" s="4"/>
      <c r="C409" s="4"/>
      <c r="D409" s="4"/>
    </row>
    <row r="410" spans="2:4" ht="14.25" customHeight="1" x14ac:dyDescent="0.35">
      <c r="B410" s="4"/>
      <c r="C410" s="4"/>
      <c r="D410" s="4"/>
    </row>
    <row r="411" spans="2:4" ht="14.25" customHeight="1" x14ac:dyDescent="0.35">
      <c r="B411" s="4"/>
      <c r="C411" s="4"/>
      <c r="D411" s="4"/>
    </row>
    <row r="412" spans="2:4" ht="14.25" customHeight="1" x14ac:dyDescent="0.35">
      <c r="B412" s="4"/>
      <c r="C412" s="4"/>
      <c r="D412" s="4"/>
    </row>
    <row r="413" spans="2:4" ht="14.25" customHeight="1" x14ac:dyDescent="0.35">
      <c r="B413" s="4"/>
      <c r="C413" s="4"/>
      <c r="D413" s="4"/>
    </row>
    <row r="414" spans="2:4" ht="14.25" customHeight="1" x14ac:dyDescent="0.35">
      <c r="B414" s="4"/>
      <c r="C414" s="4"/>
      <c r="D414" s="4"/>
    </row>
    <row r="415" spans="2:4" ht="14.25" customHeight="1" x14ac:dyDescent="0.35">
      <c r="B415" s="4"/>
      <c r="C415" s="4"/>
      <c r="D415" s="4"/>
    </row>
    <row r="416" spans="2:4" ht="14.25" customHeight="1" x14ac:dyDescent="0.35">
      <c r="B416" s="4"/>
      <c r="C416" s="4"/>
      <c r="D416" s="4"/>
    </row>
    <row r="417" spans="2:4" ht="14.25" customHeight="1" x14ac:dyDescent="0.35">
      <c r="B417" s="4"/>
      <c r="C417" s="4"/>
      <c r="D417" s="4"/>
    </row>
    <row r="418" spans="2:4" ht="14.25" customHeight="1" x14ac:dyDescent="0.35">
      <c r="B418" s="4"/>
      <c r="C418" s="4"/>
      <c r="D418" s="4"/>
    </row>
    <row r="419" spans="2:4" ht="14.25" customHeight="1" x14ac:dyDescent="0.35">
      <c r="B419" s="4"/>
      <c r="C419" s="4"/>
      <c r="D419" s="4"/>
    </row>
    <row r="420" spans="2:4" ht="14.25" customHeight="1" x14ac:dyDescent="0.35">
      <c r="B420" s="4"/>
      <c r="C420" s="4"/>
      <c r="D420" s="4"/>
    </row>
    <row r="421" spans="2:4" ht="14.25" customHeight="1" x14ac:dyDescent="0.35">
      <c r="B421" s="4"/>
      <c r="C421" s="4"/>
      <c r="D421" s="4"/>
    </row>
    <row r="422" spans="2:4" ht="14.25" customHeight="1" x14ac:dyDescent="0.35">
      <c r="B422" s="4"/>
      <c r="C422" s="4"/>
      <c r="D422" s="4"/>
    </row>
    <row r="423" spans="2:4" ht="14.25" customHeight="1" x14ac:dyDescent="0.35">
      <c r="B423" s="4"/>
      <c r="C423" s="4"/>
      <c r="D423" s="4"/>
    </row>
    <row r="424" spans="2:4" ht="14.25" customHeight="1" x14ac:dyDescent="0.35">
      <c r="B424" s="4"/>
      <c r="C424" s="4"/>
      <c r="D424" s="4"/>
    </row>
    <row r="425" spans="2:4" ht="14.25" customHeight="1" x14ac:dyDescent="0.35">
      <c r="B425" s="4"/>
      <c r="C425" s="4"/>
      <c r="D425" s="4"/>
    </row>
    <row r="426" spans="2:4" ht="14.25" customHeight="1" x14ac:dyDescent="0.35">
      <c r="B426" s="4"/>
      <c r="C426" s="4"/>
      <c r="D426" s="4"/>
    </row>
    <row r="427" spans="2:4" ht="14.25" customHeight="1" x14ac:dyDescent="0.35">
      <c r="B427" s="4"/>
      <c r="C427" s="4"/>
      <c r="D427" s="4"/>
    </row>
    <row r="428" spans="2:4" ht="14.25" customHeight="1" x14ac:dyDescent="0.35">
      <c r="B428" s="4"/>
      <c r="C428" s="4"/>
      <c r="D428" s="4"/>
    </row>
    <row r="429" spans="2:4" ht="14.25" customHeight="1" x14ac:dyDescent="0.35">
      <c r="B429" s="4"/>
      <c r="C429" s="4"/>
      <c r="D429" s="4"/>
    </row>
    <row r="430" spans="2:4" ht="14.25" customHeight="1" x14ac:dyDescent="0.35">
      <c r="B430" s="4"/>
      <c r="C430" s="4"/>
      <c r="D430" s="4"/>
    </row>
    <row r="431" spans="2:4" ht="14.25" customHeight="1" x14ac:dyDescent="0.35">
      <c r="B431" s="4"/>
      <c r="C431" s="4"/>
      <c r="D431" s="4"/>
    </row>
    <row r="432" spans="2:4" ht="14.25" customHeight="1" x14ac:dyDescent="0.35">
      <c r="B432" s="4"/>
      <c r="C432" s="4"/>
      <c r="D432" s="4"/>
    </row>
    <row r="433" spans="2:4" ht="14.25" customHeight="1" x14ac:dyDescent="0.35">
      <c r="B433" s="4"/>
      <c r="C433" s="4"/>
      <c r="D433" s="4"/>
    </row>
    <row r="434" spans="2:4" ht="14.25" customHeight="1" x14ac:dyDescent="0.35">
      <c r="B434" s="4"/>
      <c r="C434" s="4"/>
      <c r="D434" s="4"/>
    </row>
    <row r="435" spans="2:4" ht="14.25" customHeight="1" x14ac:dyDescent="0.35">
      <c r="B435" s="4"/>
      <c r="C435" s="4"/>
      <c r="D435" s="4"/>
    </row>
    <row r="436" spans="2:4" ht="14.25" customHeight="1" x14ac:dyDescent="0.35">
      <c r="B436" s="4"/>
      <c r="C436" s="4"/>
      <c r="D436" s="4"/>
    </row>
    <row r="437" spans="2:4" ht="14.25" customHeight="1" x14ac:dyDescent="0.35">
      <c r="B437" s="4"/>
      <c r="C437" s="4"/>
      <c r="D437" s="4"/>
    </row>
    <row r="438" spans="2:4" ht="14.25" customHeight="1" x14ac:dyDescent="0.35">
      <c r="B438" s="4"/>
      <c r="C438" s="4"/>
      <c r="D438" s="4"/>
    </row>
    <row r="439" spans="2:4" ht="14.25" customHeight="1" x14ac:dyDescent="0.35">
      <c r="B439" s="4"/>
      <c r="C439" s="4"/>
      <c r="D439" s="4"/>
    </row>
    <row r="440" spans="2:4" ht="14.25" customHeight="1" x14ac:dyDescent="0.35">
      <c r="B440" s="4"/>
      <c r="C440" s="4"/>
      <c r="D440" s="4"/>
    </row>
    <row r="441" spans="2:4" ht="14.25" customHeight="1" x14ac:dyDescent="0.35">
      <c r="B441" s="4"/>
      <c r="C441" s="4"/>
      <c r="D441" s="4"/>
    </row>
    <row r="442" spans="2:4" ht="14.25" customHeight="1" x14ac:dyDescent="0.35">
      <c r="B442" s="4"/>
      <c r="C442" s="4"/>
      <c r="D442" s="4"/>
    </row>
    <row r="443" spans="2:4" ht="14.25" customHeight="1" x14ac:dyDescent="0.35">
      <c r="B443" s="4"/>
      <c r="C443" s="4"/>
      <c r="D443" s="4"/>
    </row>
    <row r="444" spans="2:4" ht="14.25" customHeight="1" x14ac:dyDescent="0.35">
      <c r="B444" s="4"/>
      <c r="C444" s="4"/>
      <c r="D444" s="4"/>
    </row>
    <row r="445" spans="2:4" ht="14.25" customHeight="1" x14ac:dyDescent="0.35">
      <c r="B445" s="4"/>
      <c r="C445" s="4"/>
      <c r="D445" s="4"/>
    </row>
    <row r="446" spans="2:4" ht="14.25" customHeight="1" x14ac:dyDescent="0.35">
      <c r="B446" s="4"/>
      <c r="C446" s="4"/>
      <c r="D446" s="4"/>
    </row>
    <row r="447" spans="2:4" ht="14.25" customHeight="1" x14ac:dyDescent="0.35">
      <c r="B447" s="4"/>
      <c r="C447" s="4"/>
      <c r="D447" s="4"/>
    </row>
    <row r="448" spans="2:4" ht="14.25" customHeight="1" x14ac:dyDescent="0.35">
      <c r="B448" s="4"/>
      <c r="C448" s="4"/>
      <c r="D448" s="4"/>
    </row>
    <row r="449" spans="2:4" ht="14.25" customHeight="1" x14ac:dyDescent="0.35">
      <c r="B449" s="4"/>
      <c r="C449" s="4"/>
      <c r="D449" s="4"/>
    </row>
    <row r="450" spans="2:4" ht="14.25" customHeight="1" x14ac:dyDescent="0.35">
      <c r="B450" s="4"/>
      <c r="C450" s="4"/>
      <c r="D450" s="4"/>
    </row>
    <row r="451" spans="2:4" ht="14.25" customHeight="1" x14ac:dyDescent="0.35">
      <c r="B451" s="4"/>
      <c r="C451" s="4"/>
      <c r="D451" s="4"/>
    </row>
    <row r="452" spans="2:4" ht="14.25" customHeight="1" x14ac:dyDescent="0.35">
      <c r="B452" s="4"/>
      <c r="C452" s="4"/>
      <c r="D452" s="4"/>
    </row>
    <row r="453" spans="2:4" ht="14.25" customHeight="1" x14ac:dyDescent="0.35">
      <c r="B453" s="4"/>
      <c r="C453" s="4"/>
      <c r="D453" s="4"/>
    </row>
    <row r="454" spans="2:4" ht="14.25" customHeight="1" x14ac:dyDescent="0.35">
      <c r="B454" s="4"/>
      <c r="C454" s="4"/>
      <c r="D454" s="4"/>
    </row>
    <row r="455" spans="2:4" ht="14.25" customHeight="1" x14ac:dyDescent="0.35">
      <c r="B455" s="4"/>
      <c r="C455" s="4"/>
      <c r="D455" s="4"/>
    </row>
    <row r="456" spans="2:4" ht="14.25" customHeight="1" x14ac:dyDescent="0.35">
      <c r="B456" s="4"/>
      <c r="C456" s="4"/>
      <c r="D456" s="4"/>
    </row>
    <row r="457" spans="2:4" ht="14.25" customHeight="1" x14ac:dyDescent="0.35">
      <c r="B457" s="4"/>
      <c r="C457" s="4"/>
      <c r="D457" s="4"/>
    </row>
    <row r="458" spans="2:4" ht="14.25" customHeight="1" x14ac:dyDescent="0.35">
      <c r="B458" s="4"/>
      <c r="C458" s="4"/>
      <c r="D458" s="4"/>
    </row>
    <row r="459" spans="2:4" ht="14.25" customHeight="1" x14ac:dyDescent="0.35">
      <c r="B459" s="4"/>
      <c r="C459" s="4"/>
      <c r="D459" s="4"/>
    </row>
    <row r="460" spans="2:4" ht="14.25" customHeight="1" x14ac:dyDescent="0.35">
      <c r="B460" s="4"/>
      <c r="C460" s="4"/>
      <c r="D460" s="4"/>
    </row>
    <row r="461" spans="2:4" ht="14.25" customHeight="1" x14ac:dyDescent="0.35">
      <c r="B461" s="4"/>
      <c r="C461" s="4"/>
      <c r="D461" s="4"/>
    </row>
    <row r="462" spans="2:4" ht="14.25" customHeight="1" x14ac:dyDescent="0.35">
      <c r="B462" s="4"/>
      <c r="C462" s="4"/>
      <c r="D462" s="4"/>
    </row>
    <row r="463" spans="2:4" ht="14.25" customHeight="1" x14ac:dyDescent="0.35">
      <c r="B463" s="4"/>
      <c r="C463" s="4"/>
      <c r="D463" s="4"/>
    </row>
    <row r="464" spans="2:4" ht="14.25" customHeight="1" x14ac:dyDescent="0.35">
      <c r="B464" s="4"/>
      <c r="C464" s="4"/>
      <c r="D464" s="4"/>
    </row>
    <row r="465" spans="2:4" ht="14.25" customHeight="1" x14ac:dyDescent="0.35">
      <c r="B465" s="4"/>
      <c r="C465" s="4"/>
      <c r="D465" s="4"/>
    </row>
    <row r="466" spans="2:4" ht="14.25" customHeight="1" x14ac:dyDescent="0.35">
      <c r="B466" s="4"/>
      <c r="C466" s="4"/>
      <c r="D466" s="4"/>
    </row>
    <row r="467" spans="2:4" ht="14.25" customHeight="1" x14ac:dyDescent="0.35">
      <c r="B467" s="4"/>
      <c r="C467" s="4"/>
      <c r="D467" s="4"/>
    </row>
    <row r="468" spans="2:4" ht="14.25" customHeight="1" x14ac:dyDescent="0.35">
      <c r="B468" s="4"/>
      <c r="C468" s="4"/>
      <c r="D468" s="4"/>
    </row>
    <row r="469" spans="2:4" ht="14.25" customHeight="1" x14ac:dyDescent="0.35">
      <c r="B469" s="4"/>
      <c r="C469" s="4"/>
      <c r="D469" s="4"/>
    </row>
    <row r="470" spans="2:4" ht="14.25" customHeight="1" x14ac:dyDescent="0.35">
      <c r="B470" s="4"/>
      <c r="C470" s="4"/>
      <c r="D470" s="4"/>
    </row>
    <row r="471" spans="2:4" ht="14.25" customHeight="1" x14ac:dyDescent="0.35">
      <c r="B471" s="4"/>
      <c r="C471" s="4"/>
      <c r="D471" s="4"/>
    </row>
    <row r="472" spans="2:4" ht="14.25" customHeight="1" x14ac:dyDescent="0.35">
      <c r="B472" s="4"/>
      <c r="C472" s="4"/>
      <c r="D472" s="4"/>
    </row>
    <row r="473" spans="2:4" ht="14.25" customHeight="1" x14ac:dyDescent="0.35">
      <c r="B473" s="4"/>
      <c r="C473" s="4"/>
      <c r="D473" s="4"/>
    </row>
    <row r="474" spans="2:4" ht="14.25" customHeight="1" x14ac:dyDescent="0.35">
      <c r="B474" s="4"/>
      <c r="C474" s="4"/>
      <c r="D474" s="4"/>
    </row>
    <row r="475" spans="2:4" ht="14.25" customHeight="1" x14ac:dyDescent="0.35">
      <c r="B475" s="4"/>
      <c r="C475" s="4"/>
      <c r="D475" s="4"/>
    </row>
    <row r="476" spans="2:4" ht="14.25" customHeight="1" x14ac:dyDescent="0.35">
      <c r="B476" s="4"/>
      <c r="C476" s="4"/>
      <c r="D476" s="4"/>
    </row>
    <row r="477" spans="2:4" ht="14.25" customHeight="1" x14ac:dyDescent="0.35">
      <c r="B477" s="4"/>
      <c r="C477" s="4"/>
      <c r="D477" s="4"/>
    </row>
    <row r="478" spans="2:4" ht="14.25" customHeight="1" x14ac:dyDescent="0.35">
      <c r="B478" s="4"/>
      <c r="C478" s="4"/>
      <c r="D478" s="4"/>
    </row>
    <row r="479" spans="2:4" ht="14.25" customHeight="1" x14ac:dyDescent="0.35">
      <c r="B479" s="4"/>
      <c r="C479" s="4"/>
      <c r="D479" s="4"/>
    </row>
    <row r="480" spans="2:4" ht="14.25" customHeight="1" x14ac:dyDescent="0.35">
      <c r="B480" s="4"/>
      <c r="C480" s="4"/>
      <c r="D480" s="4"/>
    </row>
    <row r="481" spans="2:4" ht="14.25" customHeight="1" x14ac:dyDescent="0.35">
      <c r="B481" s="4"/>
      <c r="C481" s="4"/>
      <c r="D481" s="4"/>
    </row>
    <row r="482" spans="2:4" ht="14.25" customHeight="1" x14ac:dyDescent="0.35">
      <c r="B482" s="4"/>
      <c r="C482" s="4"/>
      <c r="D482" s="4"/>
    </row>
    <row r="483" spans="2:4" ht="14.25" customHeight="1" x14ac:dyDescent="0.35">
      <c r="B483" s="4"/>
      <c r="C483" s="4"/>
      <c r="D483" s="4"/>
    </row>
    <row r="484" spans="2:4" ht="14.25" customHeight="1" x14ac:dyDescent="0.35">
      <c r="B484" s="4"/>
      <c r="C484" s="4"/>
      <c r="D484" s="4"/>
    </row>
    <row r="485" spans="2:4" ht="14.25" customHeight="1" x14ac:dyDescent="0.35">
      <c r="B485" s="4"/>
      <c r="C485" s="4"/>
      <c r="D485" s="4"/>
    </row>
    <row r="486" spans="2:4" ht="14.25" customHeight="1" x14ac:dyDescent="0.35">
      <c r="B486" s="4"/>
      <c r="C486" s="4"/>
      <c r="D486" s="4"/>
    </row>
    <row r="487" spans="2:4" ht="14.25" customHeight="1" x14ac:dyDescent="0.35">
      <c r="B487" s="4"/>
      <c r="C487" s="4"/>
      <c r="D487" s="4"/>
    </row>
    <row r="488" spans="2:4" ht="14.25" customHeight="1" x14ac:dyDescent="0.35">
      <c r="B488" s="4"/>
      <c r="C488" s="4"/>
      <c r="D488" s="4"/>
    </row>
    <row r="489" spans="2:4" ht="14.25" customHeight="1" x14ac:dyDescent="0.35">
      <c r="B489" s="4"/>
      <c r="C489" s="4"/>
      <c r="D489" s="4"/>
    </row>
    <row r="490" spans="2:4" ht="14.25" customHeight="1" x14ac:dyDescent="0.35">
      <c r="B490" s="4"/>
      <c r="C490" s="4"/>
      <c r="D490" s="4"/>
    </row>
    <row r="491" spans="2:4" ht="14.25" customHeight="1" x14ac:dyDescent="0.35">
      <c r="B491" s="4"/>
      <c r="C491" s="4"/>
      <c r="D491" s="4"/>
    </row>
    <row r="492" spans="2:4" ht="14.25" customHeight="1" x14ac:dyDescent="0.35">
      <c r="B492" s="4"/>
      <c r="C492" s="4"/>
      <c r="D492" s="4"/>
    </row>
    <row r="493" spans="2:4" ht="14.25" customHeight="1" x14ac:dyDescent="0.35">
      <c r="B493" s="4"/>
      <c r="C493" s="4"/>
      <c r="D493" s="4"/>
    </row>
    <row r="494" spans="2:4" ht="14.25" customHeight="1" x14ac:dyDescent="0.35">
      <c r="B494" s="4"/>
      <c r="C494" s="4"/>
      <c r="D494" s="4"/>
    </row>
    <row r="495" spans="2:4" ht="14.25" customHeight="1" x14ac:dyDescent="0.35">
      <c r="B495" s="4"/>
      <c r="C495" s="4"/>
      <c r="D495" s="4"/>
    </row>
    <row r="496" spans="2:4" ht="14.25" customHeight="1" x14ac:dyDescent="0.35">
      <c r="B496" s="4"/>
      <c r="C496" s="4"/>
      <c r="D496" s="4"/>
    </row>
    <row r="497" spans="2:4" ht="14.25" customHeight="1" x14ac:dyDescent="0.35">
      <c r="B497" s="4"/>
      <c r="C497" s="4"/>
      <c r="D497" s="4"/>
    </row>
    <row r="498" spans="2:4" ht="14.25" customHeight="1" x14ac:dyDescent="0.35">
      <c r="B498" s="4"/>
      <c r="C498" s="4"/>
      <c r="D498" s="4"/>
    </row>
    <row r="499" spans="2:4" ht="14.25" customHeight="1" x14ac:dyDescent="0.35">
      <c r="B499" s="4"/>
      <c r="C499" s="4"/>
      <c r="D499" s="4"/>
    </row>
    <row r="500" spans="2:4" ht="14.25" customHeight="1" x14ac:dyDescent="0.35">
      <c r="B500" s="4"/>
      <c r="C500" s="4"/>
      <c r="D500" s="4"/>
    </row>
    <row r="501" spans="2:4" ht="14.25" customHeight="1" x14ac:dyDescent="0.35">
      <c r="B501" s="4"/>
      <c r="C501" s="4"/>
      <c r="D501" s="4"/>
    </row>
    <row r="502" spans="2:4" ht="14.25" customHeight="1" x14ac:dyDescent="0.35">
      <c r="B502" s="4"/>
      <c r="C502" s="4"/>
      <c r="D502" s="4"/>
    </row>
    <row r="503" spans="2:4" ht="14.25" customHeight="1" x14ac:dyDescent="0.35">
      <c r="B503" s="4"/>
      <c r="C503" s="4"/>
      <c r="D503" s="4"/>
    </row>
    <row r="504" spans="2:4" ht="14.25" customHeight="1" x14ac:dyDescent="0.35">
      <c r="B504" s="4"/>
      <c r="C504" s="4"/>
      <c r="D504" s="4"/>
    </row>
    <row r="505" spans="2:4" ht="14.25" customHeight="1" x14ac:dyDescent="0.35">
      <c r="B505" s="4"/>
      <c r="C505" s="4"/>
      <c r="D505" s="4"/>
    </row>
    <row r="506" spans="2:4" ht="14.25" customHeight="1" x14ac:dyDescent="0.35">
      <c r="B506" s="4"/>
      <c r="C506" s="4"/>
      <c r="D506" s="4"/>
    </row>
    <row r="507" spans="2:4" ht="14.25" customHeight="1" x14ac:dyDescent="0.35">
      <c r="B507" s="4"/>
      <c r="C507" s="4"/>
      <c r="D507" s="4"/>
    </row>
    <row r="508" spans="2:4" ht="14.25" customHeight="1" x14ac:dyDescent="0.35">
      <c r="B508" s="4"/>
      <c r="C508" s="4"/>
      <c r="D508" s="4"/>
    </row>
    <row r="509" spans="2:4" ht="14.25" customHeight="1" x14ac:dyDescent="0.35">
      <c r="B509" s="4"/>
      <c r="C509" s="4"/>
      <c r="D509" s="4"/>
    </row>
    <row r="510" spans="2:4" ht="14.25" customHeight="1" x14ac:dyDescent="0.35">
      <c r="B510" s="4"/>
      <c r="C510" s="4"/>
      <c r="D510" s="4"/>
    </row>
    <row r="511" spans="2:4" ht="14.25" customHeight="1" x14ac:dyDescent="0.35">
      <c r="B511" s="4"/>
      <c r="C511" s="4"/>
      <c r="D511" s="4"/>
    </row>
    <row r="512" spans="2:4" ht="14.25" customHeight="1" x14ac:dyDescent="0.35">
      <c r="B512" s="4"/>
      <c r="C512" s="4"/>
      <c r="D512" s="4"/>
    </row>
    <row r="513" spans="2:4" ht="14.25" customHeight="1" x14ac:dyDescent="0.35">
      <c r="B513" s="4"/>
      <c r="C513" s="4"/>
      <c r="D513" s="4"/>
    </row>
    <row r="514" spans="2:4" ht="14.25" customHeight="1" x14ac:dyDescent="0.35">
      <c r="B514" s="4"/>
      <c r="C514" s="4"/>
      <c r="D514" s="4"/>
    </row>
    <row r="515" spans="2:4" ht="14.25" customHeight="1" x14ac:dyDescent="0.35">
      <c r="B515" s="4"/>
      <c r="C515" s="4"/>
      <c r="D515" s="4"/>
    </row>
    <row r="516" spans="2:4" ht="14.25" customHeight="1" x14ac:dyDescent="0.35">
      <c r="B516" s="4"/>
      <c r="C516" s="4"/>
      <c r="D516" s="4"/>
    </row>
    <row r="517" spans="2:4" ht="14.25" customHeight="1" x14ac:dyDescent="0.35">
      <c r="B517" s="4"/>
      <c r="C517" s="4"/>
      <c r="D517" s="4"/>
    </row>
    <row r="518" spans="2:4" ht="14.25" customHeight="1" x14ac:dyDescent="0.35">
      <c r="B518" s="4"/>
      <c r="C518" s="4"/>
      <c r="D518" s="4"/>
    </row>
    <row r="519" spans="2:4" ht="14.25" customHeight="1" x14ac:dyDescent="0.35">
      <c r="B519" s="4"/>
      <c r="C519" s="4"/>
      <c r="D519" s="4"/>
    </row>
    <row r="520" spans="2:4" ht="14.25" customHeight="1" x14ac:dyDescent="0.35">
      <c r="B520" s="4"/>
      <c r="C520" s="4"/>
      <c r="D520" s="4"/>
    </row>
    <row r="521" spans="2:4" ht="14.25" customHeight="1" x14ac:dyDescent="0.35">
      <c r="B521" s="4"/>
      <c r="C521" s="4"/>
      <c r="D521" s="4"/>
    </row>
    <row r="522" spans="2:4" ht="14.25" customHeight="1" x14ac:dyDescent="0.35">
      <c r="B522" s="4"/>
      <c r="C522" s="4"/>
      <c r="D522" s="4"/>
    </row>
    <row r="523" spans="2:4" ht="14.25" customHeight="1" x14ac:dyDescent="0.35">
      <c r="B523" s="4"/>
      <c r="C523" s="4"/>
      <c r="D523" s="4"/>
    </row>
    <row r="524" spans="2:4" ht="14.25" customHeight="1" x14ac:dyDescent="0.35">
      <c r="B524" s="4"/>
      <c r="C524" s="4"/>
      <c r="D524" s="4"/>
    </row>
    <row r="525" spans="2:4" ht="14.25" customHeight="1" x14ac:dyDescent="0.35">
      <c r="B525" s="4"/>
      <c r="C525" s="4"/>
      <c r="D525" s="4"/>
    </row>
    <row r="526" spans="2:4" ht="14.25" customHeight="1" x14ac:dyDescent="0.35">
      <c r="B526" s="4"/>
      <c r="C526" s="4"/>
      <c r="D526" s="4"/>
    </row>
    <row r="527" spans="2:4" ht="14.25" customHeight="1" x14ac:dyDescent="0.35">
      <c r="B527" s="4"/>
      <c r="C527" s="4"/>
      <c r="D527" s="4"/>
    </row>
    <row r="528" spans="2:4" ht="14.25" customHeight="1" x14ac:dyDescent="0.35">
      <c r="B528" s="4"/>
      <c r="C528" s="4"/>
      <c r="D528" s="4"/>
    </row>
    <row r="529" spans="2:4" ht="14.25" customHeight="1" x14ac:dyDescent="0.35">
      <c r="B529" s="4"/>
      <c r="C529" s="4"/>
      <c r="D529" s="4"/>
    </row>
    <row r="530" spans="2:4" ht="14.25" customHeight="1" x14ac:dyDescent="0.35">
      <c r="B530" s="4"/>
      <c r="C530" s="4"/>
      <c r="D530" s="4"/>
    </row>
    <row r="531" spans="2:4" ht="14.25" customHeight="1" x14ac:dyDescent="0.35">
      <c r="B531" s="4"/>
      <c r="C531" s="4"/>
      <c r="D531" s="4"/>
    </row>
    <row r="532" spans="2:4" ht="14.25" customHeight="1" x14ac:dyDescent="0.35">
      <c r="B532" s="4"/>
      <c r="C532" s="4"/>
      <c r="D532" s="4"/>
    </row>
    <row r="533" spans="2:4" ht="14.25" customHeight="1" x14ac:dyDescent="0.35">
      <c r="B533" s="4"/>
      <c r="C533" s="4"/>
      <c r="D533" s="4"/>
    </row>
    <row r="534" spans="2:4" ht="14.25" customHeight="1" x14ac:dyDescent="0.35">
      <c r="B534" s="4"/>
      <c r="C534" s="4"/>
      <c r="D534" s="4"/>
    </row>
    <row r="535" spans="2:4" ht="14.25" customHeight="1" x14ac:dyDescent="0.35">
      <c r="B535" s="4"/>
      <c r="C535" s="4"/>
      <c r="D535" s="4"/>
    </row>
    <row r="536" spans="2:4" ht="14.25" customHeight="1" x14ac:dyDescent="0.35">
      <c r="B536" s="4"/>
      <c r="C536" s="4"/>
      <c r="D536" s="4"/>
    </row>
    <row r="537" spans="2:4" ht="14.25" customHeight="1" x14ac:dyDescent="0.35">
      <c r="B537" s="4"/>
      <c r="C537" s="4"/>
      <c r="D537" s="4"/>
    </row>
    <row r="538" spans="2:4" ht="14.25" customHeight="1" x14ac:dyDescent="0.35">
      <c r="B538" s="4"/>
      <c r="C538" s="4"/>
      <c r="D538" s="4"/>
    </row>
    <row r="539" spans="2:4" ht="14.25" customHeight="1" x14ac:dyDescent="0.35">
      <c r="B539" s="4"/>
      <c r="C539" s="4"/>
      <c r="D539" s="4"/>
    </row>
    <row r="540" spans="2:4" ht="14.25" customHeight="1" x14ac:dyDescent="0.35">
      <c r="B540" s="4"/>
      <c r="C540" s="4"/>
      <c r="D540" s="4"/>
    </row>
    <row r="541" spans="2:4" ht="14.25" customHeight="1" x14ac:dyDescent="0.35">
      <c r="B541" s="4"/>
      <c r="C541" s="4"/>
      <c r="D541" s="4"/>
    </row>
    <row r="542" spans="2:4" ht="14.25" customHeight="1" x14ac:dyDescent="0.35">
      <c r="B542" s="4"/>
      <c r="C542" s="4"/>
      <c r="D542" s="4"/>
    </row>
    <row r="543" spans="2:4" ht="14.25" customHeight="1" x14ac:dyDescent="0.35">
      <c r="B543" s="4"/>
      <c r="C543" s="4"/>
      <c r="D543" s="4"/>
    </row>
    <row r="544" spans="2:4" ht="14.25" customHeight="1" x14ac:dyDescent="0.35">
      <c r="B544" s="4"/>
      <c r="C544" s="4"/>
      <c r="D544" s="4"/>
    </row>
    <row r="545" spans="2:4" ht="14.25" customHeight="1" x14ac:dyDescent="0.35">
      <c r="B545" s="4"/>
      <c r="C545" s="4"/>
      <c r="D545" s="4"/>
    </row>
    <row r="546" spans="2:4" ht="14.25" customHeight="1" x14ac:dyDescent="0.35">
      <c r="B546" s="4"/>
      <c r="C546" s="4"/>
      <c r="D546" s="4"/>
    </row>
    <row r="547" spans="2:4" ht="14.25" customHeight="1" x14ac:dyDescent="0.35">
      <c r="B547" s="4"/>
      <c r="C547" s="4"/>
      <c r="D547" s="4"/>
    </row>
    <row r="548" spans="2:4" ht="14.25" customHeight="1" x14ac:dyDescent="0.35">
      <c r="B548" s="4"/>
      <c r="C548" s="4"/>
      <c r="D548" s="4"/>
    </row>
    <row r="549" spans="2:4" ht="14.25" customHeight="1" x14ac:dyDescent="0.35">
      <c r="B549" s="4"/>
      <c r="C549" s="4"/>
      <c r="D549" s="4"/>
    </row>
    <row r="550" spans="2:4" ht="14.25" customHeight="1" x14ac:dyDescent="0.35">
      <c r="B550" s="4"/>
      <c r="C550" s="4"/>
      <c r="D550" s="4"/>
    </row>
    <row r="551" spans="2:4" ht="14.25" customHeight="1" x14ac:dyDescent="0.35">
      <c r="B551" s="4"/>
      <c r="C551" s="4"/>
      <c r="D551" s="4"/>
    </row>
    <row r="552" spans="2:4" ht="14.25" customHeight="1" x14ac:dyDescent="0.35">
      <c r="B552" s="4"/>
      <c r="C552" s="4"/>
      <c r="D552" s="4"/>
    </row>
    <row r="553" spans="2:4" ht="14.25" customHeight="1" x14ac:dyDescent="0.35">
      <c r="B553" s="4"/>
      <c r="C553" s="4"/>
      <c r="D553" s="4"/>
    </row>
    <row r="554" spans="2:4" ht="14.25" customHeight="1" x14ac:dyDescent="0.35">
      <c r="B554" s="4"/>
      <c r="C554" s="4"/>
      <c r="D554" s="4"/>
    </row>
    <row r="555" spans="2:4" ht="14.25" customHeight="1" x14ac:dyDescent="0.35">
      <c r="B555" s="4"/>
      <c r="C555" s="4"/>
      <c r="D555" s="4"/>
    </row>
    <row r="556" spans="2:4" ht="14.25" customHeight="1" x14ac:dyDescent="0.35">
      <c r="B556" s="4"/>
      <c r="C556" s="4"/>
      <c r="D556" s="4"/>
    </row>
    <row r="557" spans="2:4" ht="14.25" customHeight="1" x14ac:dyDescent="0.35">
      <c r="B557" s="4"/>
      <c r="C557" s="4"/>
      <c r="D557" s="4"/>
    </row>
    <row r="558" spans="2:4" ht="14.25" customHeight="1" x14ac:dyDescent="0.35">
      <c r="B558" s="4"/>
      <c r="C558" s="4"/>
      <c r="D558" s="4"/>
    </row>
    <row r="559" spans="2:4" ht="14.25" customHeight="1" x14ac:dyDescent="0.35">
      <c r="B559" s="4"/>
      <c r="C559" s="4"/>
      <c r="D559" s="4"/>
    </row>
    <row r="560" spans="2:4" ht="14.25" customHeight="1" x14ac:dyDescent="0.35">
      <c r="B560" s="4"/>
      <c r="C560" s="4"/>
      <c r="D560" s="4"/>
    </row>
    <row r="561" spans="2:4" ht="14.25" customHeight="1" x14ac:dyDescent="0.35">
      <c r="B561" s="4"/>
      <c r="C561" s="4"/>
      <c r="D561" s="4"/>
    </row>
    <row r="562" spans="2:4" ht="14.25" customHeight="1" x14ac:dyDescent="0.35">
      <c r="B562" s="4"/>
      <c r="C562" s="4"/>
      <c r="D562" s="4"/>
    </row>
    <row r="563" spans="2:4" ht="14.25" customHeight="1" x14ac:dyDescent="0.35">
      <c r="B563" s="4"/>
      <c r="C563" s="4"/>
      <c r="D563" s="4"/>
    </row>
    <row r="564" spans="2:4" ht="14.25" customHeight="1" x14ac:dyDescent="0.35">
      <c r="B564" s="4"/>
      <c r="C564" s="4"/>
      <c r="D564" s="4"/>
    </row>
    <row r="565" spans="2:4" ht="14.25" customHeight="1" x14ac:dyDescent="0.35">
      <c r="B565" s="4"/>
      <c r="C565" s="4"/>
      <c r="D565" s="4"/>
    </row>
    <row r="566" spans="2:4" ht="14.25" customHeight="1" x14ac:dyDescent="0.35">
      <c r="B566" s="4"/>
      <c r="C566" s="4"/>
      <c r="D566" s="4"/>
    </row>
    <row r="567" spans="2:4" ht="14.25" customHeight="1" x14ac:dyDescent="0.35">
      <c r="B567" s="4"/>
      <c r="C567" s="4"/>
      <c r="D567" s="4"/>
    </row>
    <row r="568" spans="2:4" ht="14.25" customHeight="1" x14ac:dyDescent="0.35">
      <c r="B568" s="4"/>
      <c r="C568" s="4"/>
      <c r="D568" s="4"/>
    </row>
    <row r="569" spans="2:4" ht="14.25" customHeight="1" x14ac:dyDescent="0.35">
      <c r="B569" s="4"/>
      <c r="C569" s="4"/>
      <c r="D569" s="4"/>
    </row>
    <row r="570" spans="2:4" ht="14.25" customHeight="1" x14ac:dyDescent="0.35">
      <c r="B570" s="4"/>
      <c r="C570" s="4"/>
      <c r="D570" s="4"/>
    </row>
    <row r="571" spans="2:4" ht="14.25" customHeight="1" x14ac:dyDescent="0.35">
      <c r="B571" s="4"/>
      <c r="C571" s="4"/>
      <c r="D571" s="4"/>
    </row>
    <row r="572" spans="2:4" ht="14.25" customHeight="1" x14ac:dyDescent="0.35">
      <c r="B572" s="4"/>
      <c r="C572" s="4"/>
      <c r="D572" s="4"/>
    </row>
    <row r="573" spans="2:4" ht="14.25" customHeight="1" x14ac:dyDescent="0.35">
      <c r="B573" s="4"/>
      <c r="C573" s="4"/>
      <c r="D573" s="4"/>
    </row>
    <row r="574" spans="2:4" ht="14.25" customHeight="1" x14ac:dyDescent="0.35">
      <c r="B574" s="4"/>
      <c r="C574" s="4"/>
      <c r="D574" s="4"/>
    </row>
    <row r="575" spans="2:4" ht="14.25" customHeight="1" x14ac:dyDescent="0.35">
      <c r="B575" s="4"/>
      <c r="C575" s="4"/>
      <c r="D575" s="4"/>
    </row>
    <row r="576" spans="2:4" ht="14.25" customHeight="1" x14ac:dyDescent="0.35">
      <c r="B576" s="4"/>
      <c r="C576" s="4"/>
      <c r="D576" s="4"/>
    </row>
    <row r="577" spans="2:4" ht="14.25" customHeight="1" x14ac:dyDescent="0.35">
      <c r="B577" s="4"/>
      <c r="C577" s="4"/>
      <c r="D577" s="4"/>
    </row>
    <row r="578" spans="2:4" ht="14.25" customHeight="1" x14ac:dyDescent="0.35">
      <c r="B578" s="4"/>
      <c r="C578" s="4"/>
      <c r="D578" s="4"/>
    </row>
    <row r="579" spans="2:4" ht="14.25" customHeight="1" x14ac:dyDescent="0.35">
      <c r="B579" s="4"/>
      <c r="C579" s="4"/>
      <c r="D579" s="4"/>
    </row>
    <row r="580" spans="2:4" ht="14.25" customHeight="1" x14ac:dyDescent="0.35">
      <c r="B580" s="4"/>
      <c r="C580" s="4"/>
      <c r="D580" s="4"/>
    </row>
    <row r="581" spans="2:4" ht="14.25" customHeight="1" x14ac:dyDescent="0.35">
      <c r="B581" s="4"/>
      <c r="C581" s="4"/>
      <c r="D581" s="4"/>
    </row>
    <row r="582" spans="2:4" ht="14.25" customHeight="1" x14ac:dyDescent="0.35">
      <c r="B582" s="4"/>
      <c r="C582" s="4"/>
      <c r="D582" s="4"/>
    </row>
    <row r="583" spans="2:4" ht="14.25" customHeight="1" x14ac:dyDescent="0.35">
      <c r="B583" s="4"/>
      <c r="C583" s="4"/>
      <c r="D583" s="4"/>
    </row>
    <row r="584" spans="2:4" ht="14.25" customHeight="1" x14ac:dyDescent="0.35">
      <c r="B584" s="4"/>
      <c r="C584" s="4"/>
      <c r="D584" s="4"/>
    </row>
    <row r="585" spans="2:4" ht="14.25" customHeight="1" x14ac:dyDescent="0.35">
      <c r="B585" s="4"/>
      <c r="C585" s="4"/>
      <c r="D585" s="4"/>
    </row>
    <row r="586" spans="2:4" ht="14.25" customHeight="1" x14ac:dyDescent="0.35">
      <c r="B586" s="4"/>
      <c r="C586" s="4"/>
      <c r="D586" s="4"/>
    </row>
    <row r="587" spans="2:4" ht="14.25" customHeight="1" x14ac:dyDescent="0.35">
      <c r="B587" s="4"/>
      <c r="C587" s="4"/>
      <c r="D587" s="4"/>
    </row>
    <row r="588" spans="2:4" ht="14.25" customHeight="1" x14ac:dyDescent="0.35">
      <c r="B588" s="4"/>
      <c r="C588" s="4"/>
      <c r="D588" s="4"/>
    </row>
    <row r="589" spans="2:4" ht="14.25" customHeight="1" x14ac:dyDescent="0.35">
      <c r="B589" s="4"/>
      <c r="C589" s="4"/>
      <c r="D589" s="4"/>
    </row>
    <row r="590" spans="2:4" ht="14.25" customHeight="1" x14ac:dyDescent="0.35">
      <c r="B590" s="4"/>
      <c r="C590" s="4"/>
      <c r="D590" s="4"/>
    </row>
    <row r="591" spans="2:4" ht="14.25" customHeight="1" x14ac:dyDescent="0.35">
      <c r="B591" s="4"/>
      <c r="C591" s="4"/>
      <c r="D591" s="4"/>
    </row>
    <row r="592" spans="2:4" ht="14.25" customHeight="1" x14ac:dyDescent="0.35">
      <c r="B592" s="4"/>
      <c r="C592" s="4"/>
      <c r="D592" s="4"/>
    </row>
    <row r="593" spans="2:4" ht="14.25" customHeight="1" x14ac:dyDescent="0.35">
      <c r="B593" s="4"/>
      <c r="C593" s="4"/>
      <c r="D593" s="4"/>
    </row>
    <row r="594" spans="2:4" ht="14.25" customHeight="1" x14ac:dyDescent="0.35">
      <c r="B594" s="4"/>
      <c r="C594" s="4"/>
      <c r="D594" s="4"/>
    </row>
    <row r="595" spans="2:4" ht="14.25" customHeight="1" x14ac:dyDescent="0.35">
      <c r="B595" s="4"/>
      <c r="C595" s="4"/>
      <c r="D595" s="4"/>
    </row>
    <row r="596" spans="2:4" ht="14.25" customHeight="1" x14ac:dyDescent="0.35">
      <c r="B596" s="4"/>
      <c r="C596" s="4"/>
      <c r="D596" s="4"/>
    </row>
    <row r="597" spans="2:4" ht="14.25" customHeight="1" x14ac:dyDescent="0.35">
      <c r="B597" s="4"/>
      <c r="C597" s="4"/>
      <c r="D597" s="4"/>
    </row>
    <row r="598" spans="2:4" ht="14.25" customHeight="1" x14ac:dyDescent="0.35">
      <c r="B598" s="4"/>
      <c r="C598" s="4"/>
      <c r="D598" s="4"/>
    </row>
    <row r="599" spans="2:4" ht="14.25" customHeight="1" x14ac:dyDescent="0.35">
      <c r="B599" s="4"/>
      <c r="C599" s="4"/>
      <c r="D599" s="4"/>
    </row>
    <row r="600" spans="2:4" ht="14.25" customHeight="1" x14ac:dyDescent="0.35">
      <c r="B600" s="4"/>
      <c r="C600" s="4"/>
      <c r="D600" s="4"/>
    </row>
    <row r="601" spans="2:4" ht="14.25" customHeight="1" x14ac:dyDescent="0.35">
      <c r="B601" s="4"/>
      <c r="C601" s="4"/>
      <c r="D601" s="4"/>
    </row>
    <row r="602" spans="2:4" ht="14.25" customHeight="1" x14ac:dyDescent="0.35">
      <c r="B602" s="4"/>
      <c r="C602" s="4"/>
      <c r="D602" s="4"/>
    </row>
    <row r="603" spans="2:4" ht="14.25" customHeight="1" x14ac:dyDescent="0.35">
      <c r="B603" s="4"/>
      <c r="C603" s="4"/>
      <c r="D603" s="4"/>
    </row>
    <row r="604" spans="2:4" ht="14.25" customHeight="1" x14ac:dyDescent="0.35">
      <c r="B604" s="4"/>
      <c r="C604" s="4"/>
      <c r="D604" s="4"/>
    </row>
    <row r="605" spans="2:4" ht="14.25" customHeight="1" x14ac:dyDescent="0.35">
      <c r="B605" s="4"/>
      <c r="C605" s="4"/>
      <c r="D605" s="4"/>
    </row>
    <row r="606" spans="2:4" ht="14.25" customHeight="1" x14ac:dyDescent="0.35">
      <c r="B606" s="4"/>
      <c r="C606" s="4"/>
      <c r="D606" s="4"/>
    </row>
    <row r="607" spans="2:4" ht="14.25" customHeight="1" x14ac:dyDescent="0.35">
      <c r="B607" s="4"/>
      <c r="C607" s="4"/>
      <c r="D607" s="4"/>
    </row>
    <row r="608" spans="2:4" ht="14.25" customHeight="1" x14ac:dyDescent="0.35">
      <c r="B608" s="4"/>
      <c r="C608" s="4"/>
      <c r="D608" s="4"/>
    </row>
    <row r="609" spans="2:4" ht="14.25" customHeight="1" x14ac:dyDescent="0.35">
      <c r="B609" s="4"/>
      <c r="C609" s="4"/>
      <c r="D609" s="4"/>
    </row>
    <row r="610" spans="2:4" ht="14.25" customHeight="1" x14ac:dyDescent="0.35">
      <c r="B610" s="4"/>
      <c r="C610" s="4"/>
      <c r="D610" s="4"/>
    </row>
    <row r="611" spans="2:4" ht="14.25" customHeight="1" x14ac:dyDescent="0.35">
      <c r="B611" s="4"/>
      <c r="C611" s="4"/>
      <c r="D611" s="4"/>
    </row>
    <row r="612" spans="2:4" ht="14.25" customHeight="1" x14ac:dyDescent="0.35">
      <c r="B612" s="4"/>
      <c r="C612" s="4"/>
      <c r="D612" s="4"/>
    </row>
    <row r="613" spans="2:4" ht="14.25" customHeight="1" x14ac:dyDescent="0.35">
      <c r="B613" s="4"/>
      <c r="C613" s="4"/>
      <c r="D613" s="4"/>
    </row>
    <row r="614" spans="2:4" ht="14.25" customHeight="1" x14ac:dyDescent="0.35">
      <c r="B614" s="4"/>
      <c r="C614" s="4"/>
      <c r="D614" s="4"/>
    </row>
    <row r="615" spans="2:4" ht="14.25" customHeight="1" x14ac:dyDescent="0.35">
      <c r="B615" s="4"/>
      <c r="C615" s="4"/>
      <c r="D615" s="4"/>
    </row>
    <row r="616" spans="2:4" ht="14.25" customHeight="1" x14ac:dyDescent="0.35">
      <c r="B616" s="4"/>
      <c r="C616" s="4"/>
      <c r="D616" s="4"/>
    </row>
    <row r="617" spans="2:4" ht="14.25" customHeight="1" x14ac:dyDescent="0.35">
      <c r="B617" s="4"/>
      <c r="C617" s="4"/>
      <c r="D617" s="4"/>
    </row>
    <row r="618" spans="2:4" ht="14.25" customHeight="1" x14ac:dyDescent="0.35">
      <c r="B618" s="4"/>
      <c r="C618" s="4"/>
      <c r="D618" s="4"/>
    </row>
    <row r="619" spans="2:4" ht="14.25" customHeight="1" x14ac:dyDescent="0.35">
      <c r="B619" s="4"/>
      <c r="C619" s="4"/>
      <c r="D619" s="4"/>
    </row>
    <row r="620" spans="2:4" ht="14.25" customHeight="1" x14ac:dyDescent="0.35">
      <c r="B620" s="4"/>
      <c r="C620" s="4"/>
      <c r="D620" s="4"/>
    </row>
    <row r="621" spans="2:4" ht="14.25" customHeight="1" x14ac:dyDescent="0.35">
      <c r="B621" s="4"/>
      <c r="C621" s="4"/>
      <c r="D621" s="4"/>
    </row>
    <row r="622" spans="2:4" ht="14.25" customHeight="1" x14ac:dyDescent="0.35">
      <c r="B622" s="4"/>
      <c r="C622" s="4"/>
      <c r="D622" s="4"/>
    </row>
    <row r="623" spans="2:4" ht="14.25" customHeight="1" x14ac:dyDescent="0.35">
      <c r="B623" s="4"/>
      <c r="C623" s="4"/>
      <c r="D623" s="4"/>
    </row>
    <row r="624" spans="2:4" ht="14.25" customHeight="1" x14ac:dyDescent="0.35">
      <c r="B624" s="4"/>
      <c r="C624" s="4"/>
      <c r="D624" s="4"/>
    </row>
    <row r="625" spans="2:4" ht="14.25" customHeight="1" x14ac:dyDescent="0.35">
      <c r="B625" s="4"/>
      <c r="C625" s="4"/>
      <c r="D625" s="4"/>
    </row>
    <row r="626" spans="2:4" ht="14.25" customHeight="1" x14ac:dyDescent="0.35">
      <c r="B626" s="4"/>
      <c r="C626" s="4"/>
      <c r="D626" s="4"/>
    </row>
    <row r="627" spans="2:4" ht="14.25" customHeight="1" x14ac:dyDescent="0.35">
      <c r="B627" s="4"/>
      <c r="C627" s="4"/>
      <c r="D627" s="4"/>
    </row>
    <row r="628" spans="2:4" ht="14.25" customHeight="1" x14ac:dyDescent="0.35">
      <c r="B628" s="4"/>
      <c r="C628" s="4"/>
      <c r="D628" s="4"/>
    </row>
    <row r="629" spans="2:4" ht="14.25" customHeight="1" x14ac:dyDescent="0.35">
      <c r="B629" s="4"/>
      <c r="C629" s="4"/>
      <c r="D629" s="4"/>
    </row>
    <row r="630" spans="2:4" ht="14.25" customHeight="1" x14ac:dyDescent="0.35">
      <c r="B630" s="4"/>
      <c r="C630" s="4"/>
      <c r="D630" s="4"/>
    </row>
    <row r="631" spans="2:4" ht="14.25" customHeight="1" x14ac:dyDescent="0.35">
      <c r="B631" s="4"/>
      <c r="C631" s="4"/>
      <c r="D631" s="4"/>
    </row>
    <row r="632" spans="2:4" ht="14.25" customHeight="1" x14ac:dyDescent="0.35">
      <c r="B632" s="4"/>
      <c r="C632" s="4"/>
      <c r="D632" s="4"/>
    </row>
    <row r="633" spans="2:4" ht="14.25" customHeight="1" x14ac:dyDescent="0.35">
      <c r="B633" s="4"/>
      <c r="C633" s="4"/>
      <c r="D633" s="4"/>
    </row>
    <row r="634" spans="2:4" ht="14.25" customHeight="1" x14ac:dyDescent="0.35">
      <c r="B634" s="4"/>
      <c r="C634" s="4"/>
      <c r="D634" s="4"/>
    </row>
    <row r="635" spans="2:4" ht="14.25" customHeight="1" x14ac:dyDescent="0.35">
      <c r="B635" s="4"/>
      <c r="C635" s="4"/>
      <c r="D635" s="4"/>
    </row>
    <row r="636" spans="2:4" ht="14.25" customHeight="1" x14ac:dyDescent="0.35">
      <c r="B636" s="4"/>
      <c r="C636" s="4"/>
      <c r="D636" s="4"/>
    </row>
    <row r="637" spans="2:4" ht="14.25" customHeight="1" x14ac:dyDescent="0.35">
      <c r="B637" s="4"/>
      <c r="C637" s="4"/>
      <c r="D637" s="4"/>
    </row>
    <row r="638" spans="2:4" ht="14.25" customHeight="1" x14ac:dyDescent="0.35">
      <c r="B638" s="4"/>
      <c r="C638" s="4"/>
      <c r="D638" s="4"/>
    </row>
    <row r="639" spans="2:4" ht="14.25" customHeight="1" x14ac:dyDescent="0.35">
      <c r="B639" s="4"/>
      <c r="C639" s="4"/>
      <c r="D639" s="4"/>
    </row>
    <row r="640" spans="2:4" ht="14.25" customHeight="1" x14ac:dyDescent="0.35">
      <c r="B640" s="4"/>
      <c r="C640" s="4"/>
      <c r="D640" s="4"/>
    </row>
    <row r="641" spans="2:4" ht="14.25" customHeight="1" x14ac:dyDescent="0.35">
      <c r="B641" s="4"/>
      <c r="C641" s="4"/>
      <c r="D641" s="4"/>
    </row>
    <row r="642" spans="2:4" ht="14.25" customHeight="1" x14ac:dyDescent="0.35">
      <c r="B642" s="4"/>
      <c r="C642" s="4"/>
      <c r="D642" s="4"/>
    </row>
    <row r="643" spans="2:4" ht="14.25" customHeight="1" x14ac:dyDescent="0.35">
      <c r="B643" s="4"/>
      <c r="C643" s="4"/>
      <c r="D643" s="4"/>
    </row>
    <row r="644" spans="2:4" ht="14.25" customHeight="1" x14ac:dyDescent="0.35">
      <c r="B644" s="4"/>
      <c r="C644" s="4"/>
      <c r="D644" s="4"/>
    </row>
    <row r="645" spans="2:4" ht="14.25" customHeight="1" x14ac:dyDescent="0.35">
      <c r="B645" s="4"/>
      <c r="C645" s="4"/>
      <c r="D645" s="4"/>
    </row>
    <row r="646" spans="2:4" ht="14.25" customHeight="1" x14ac:dyDescent="0.35">
      <c r="B646" s="4"/>
      <c r="C646" s="4"/>
      <c r="D646" s="4"/>
    </row>
    <row r="647" spans="2:4" ht="14.25" customHeight="1" x14ac:dyDescent="0.35">
      <c r="B647" s="4"/>
      <c r="C647" s="4"/>
      <c r="D647" s="4"/>
    </row>
    <row r="648" spans="2:4" ht="14.25" customHeight="1" x14ac:dyDescent="0.35">
      <c r="B648" s="4"/>
      <c r="C648" s="4"/>
      <c r="D648" s="4"/>
    </row>
    <row r="649" spans="2:4" ht="14.25" customHeight="1" x14ac:dyDescent="0.35">
      <c r="B649" s="4"/>
      <c r="C649" s="4"/>
      <c r="D649" s="4"/>
    </row>
    <row r="650" spans="2:4" ht="14.25" customHeight="1" x14ac:dyDescent="0.35">
      <c r="B650" s="4"/>
      <c r="C650" s="4"/>
      <c r="D650" s="4"/>
    </row>
    <row r="651" spans="2:4" ht="14.25" customHeight="1" x14ac:dyDescent="0.35">
      <c r="B651" s="4"/>
      <c r="C651" s="4"/>
      <c r="D651" s="4"/>
    </row>
    <row r="652" spans="2:4" ht="14.25" customHeight="1" x14ac:dyDescent="0.35">
      <c r="B652" s="4"/>
      <c r="C652" s="4"/>
      <c r="D652" s="4"/>
    </row>
    <row r="653" spans="2:4" ht="14.25" customHeight="1" x14ac:dyDescent="0.35">
      <c r="B653" s="4"/>
      <c r="C653" s="4"/>
      <c r="D653" s="4"/>
    </row>
    <row r="654" spans="2:4" ht="14.25" customHeight="1" x14ac:dyDescent="0.35">
      <c r="B654" s="4"/>
      <c r="C654" s="4"/>
      <c r="D654" s="4"/>
    </row>
    <row r="655" spans="2:4" ht="14.25" customHeight="1" x14ac:dyDescent="0.35">
      <c r="B655" s="4"/>
      <c r="C655" s="4"/>
      <c r="D655" s="4"/>
    </row>
    <row r="656" spans="2:4" ht="14.25" customHeight="1" x14ac:dyDescent="0.35">
      <c r="B656" s="4"/>
      <c r="C656" s="4"/>
      <c r="D656" s="4"/>
    </row>
    <row r="657" spans="2:4" ht="14.25" customHeight="1" x14ac:dyDescent="0.35">
      <c r="B657" s="4"/>
      <c r="C657" s="4"/>
      <c r="D657" s="4"/>
    </row>
    <row r="658" spans="2:4" ht="14.25" customHeight="1" x14ac:dyDescent="0.35">
      <c r="B658" s="4"/>
      <c r="C658" s="4"/>
      <c r="D658" s="4"/>
    </row>
    <row r="659" spans="2:4" ht="14.25" customHeight="1" x14ac:dyDescent="0.35">
      <c r="B659" s="4"/>
      <c r="C659" s="4"/>
      <c r="D659" s="4"/>
    </row>
    <row r="660" spans="2:4" ht="14.25" customHeight="1" x14ac:dyDescent="0.35">
      <c r="B660" s="4"/>
      <c r="C660" s="4"/>
      <c r="D660" s="4"/>
    </row>
    <row r="661" spans="2:4" ht="14.25" customHeight="1" x14ac:dyDescent="0.35">
      <c r="B661" s="4"/>
      <c r="C661" s="4"/>
      <c r="D661" s="4"/>
    </row>
    <row r="662" spans="2:4" ht="14.25" customHeight="1" x14ac:dyDescent="0.35">
      <c r="B662" s="4"/>
      <c r="C662" s="4"/>
      <c r="D662" s="4"/>
    </row>
    <row r="663" spans="2:4" ht="14.25" customHeight="1" x14ac:dyDescent="0.35">
      <c r="B663" s="4"/>
      <c r="C663" s="4"/>
      <c r="D663" s="4"/>
    </row>
    <row r="664" spans="2:4" ht="14.25" customHeight="1" x14ac:dyDescent="0.35">
      <c r="B664" s="4"/>
      <c r="C664" s="4"/>
      <c r="D664" s="4"/>
    </row>
    <row r="665" spans="2:4" ht="14.25" customHeight="1" x14ac:dyDescent="0.35">
      <c r="B665" s="4"/>
      <c r="C665" s="4"/>
      <c r="D665" s="4"/>
    </row>
    <row r="666" spans="2:4" ht="14.25" customHeight="1" x14ac:dyDescent="0.35">
      <c r="B666" s="4"/>
      <c r="C666" s="4"/>
      <c r="D666" s="4"/>
    </row>
    <row r="667" spans="2:4" ht="14.25" customHeight="1" x14ac:dyDescent="0.35">
      <c r="B667" s="4"/>
      <c r="C667" s="4"/>
      <c r="D667" s="4"/>
    </row>
    <row r="668" spans="2:4" ht="14.25" customHeight="1" x14ac:dyDescent="0.35">
      <c r="B668" s="4"/>
      <c r="C668" s="4"/>
      <c r="D668" s="4"/>
    </row>
    <row r="669" spans="2:4" ht="14.25" customHeight="1" x14ac:dyDescent="0.35">
      <c r="B669" s="4"/>
      <c r="C669" s="4"/>
      <c r="D669" s="4"/>
    </row>
    <row r="670" spans="2:4" ht="14.25" customHeight="1" x14ac:dyDescent="0.35">
      <c r="B670" s="4"/>
      <c r="C670" s="4"/>
      <c r="D670" s="4"/>
    </row>
    <row r="671" spans="2:4" ht="14.25" customHeight="1" x14ac:dyDescent="0.35">
      <c r="B671" s="4"/>
      <c r="C671" s="4"/>
      <c r="D671" s="4"/>
    </row>
    <row r="672" spans="2:4" ht="14.25" customHeight="1" x14ac:dyDescent="0.35">
      <c r="B672" s="4"/>
      <c r="C672" s="4"/>
      <c r="D672" s="4"/>
    </row>
    <row r="673" spans="2:4" ht="14.25" customHeight="1" x14ac:dyDescent="0.35">
      <c r="B673" s="4"/>
      <c r="C673" s="4"/>
      <c r="D673" s="4"/>
    </row>
    <row r="674" spans="2:4" ht="14.25" customHeight="1" x14ac:dyDescent="0.35">
      <c r="B674" s="4"/>
      <c r="C674" s="4"/>
      <c r="D674" s="4"/>
    </row>
    <row r="675" spans="2:4" ht="14.25" customHeight="1" x14ac:dyDescent="0.35">
      <c r="B675" s="4"/>
      <c r="C675" s="4"/>
      <c r="D675" s="4"/>
    </row>
    <row r="676" spans="2:4" ht="14.25" customHeight="1" x14ac:dyDescent="0.35">
      <c r="B676" s="4"/>
      <c r="C676" s="4"/>
      <c r="D676" s="4"/>
    </row>
    <row r="677" spans="2:4" ht="14.25" customHeight="1" x14ac:dyDescent="0.35">
      <c r="B677" s="4"/>
      <c r="C677" s="4"/>
      <c r="D677" s="4"/>
    </row>
    <row r="678" spans="2:4" ht="14.25" customHeight="1" x14ac:dyDescent="0.35">
      <c r="B678" s="4"/>
      <c r="C678" s="4"/>
      <c r="D678" s="4"/>
    </row>
    <row r="679" spans="2:4" ht="14.25" customHeight="1" x14ac:dyDescent="0.35">
      <c r="B679" s="4"/>
      <c r="C679" s="4"/>
      <c r="D679" s="4"/>
    </row>
    <row r="680" spans="2:4" ht="14.25" customHeight="1" x14ac:dyDescent="0.35">
      <c r="B680" s="4"/>
      <c r="C680" s="4"/>
      <c r="D680" s="4"/>
    </row>
    <row r="681" spans="2:4" ht="14.25" customHeight="1" x14ac:dyDescent="0.35">
      <c r="B681" s="4"/>
      <c r="C681" s="4"/>
      <c r="D681" s="4"/>
    </row>
    <row r="682" spans="2:4" ht="14.25" customHeight="1" x14ac:dyDescent="0.35">
      <c r="B682" s="4"/>
      <c r="C682" s="4"/>
      <c r="D682" s="4"/>
    </row>
    <row r="683" spans="2:4" ht="14.25" customHeight="1" x14ac:dyDescent="0.35">
      <c r="B683" s="4"/>
      <c r="C683" s="4"/>
      <c r="D683" s="4"/>
    </row>
    <row r="684" spans="2:4" ht="14.25" customHeight="1" x14ac:dyDescent="0.35">
      <c r="B684" s="4"/>
      <c r="C684" s="4"/>
      <c r="D684" s="4"/>
    </row>
    <row r="685" spans="2:4" ht="14.25" customHeight="1" x14ac:dyDescent="0.35">
      <c r="B685" s="4"/>
      <c r="C685" s="4"/>
      <c r="D685" s="4"/>
    </row>
    <row r="686" spans="2:4" ht="14.25" customHeight="1" x14ac:dyDescent="0.35">
      <c r="B686" s="4"/>
      <c r="C686" s="4"/>
      <c r="D686" s="4"/>
    </row>
    <row r="687" spans="2:4" ht="14.25" customHeight="1" x14ac:dyDescent="0.35">
      <c r="B687" s="4"/>
      <c r="C687" s="4"/>
      <c r="D687" s="4"/>
    </row>
    <row r="688" spans="2:4" ht="14.25" customHeight="1" x14ac:dyDescent="0.35">
      <c r="B688" s="4"/>
      <c r="C688" s="4"/>
      <c r="D688" s="4"/>
    </row>
    <row r="689" spans="2:4" ht="14.25" customHeight="1" x14ac:dyDescent="0.35">
      <c r="B689" s="4"/>
      <c r="C689" s="4"/>
      <c r="D689" s="4"/>
    </row>
    <row r="690" spans="2:4" ht="14.25" customHeight="1" x14ac:dyDescent="0.35">
      <c r="B690" s="4"/>
      <c r="C690" s="4"/>
      <c r="D690" s="4"/>
    </row>
    <row r="691" spans="2:4" ht="14.25" customHeight="1" x14ac:dyDescent="0.35">
      <c r="B691" s="4"/>
      <c r="C691" s="4"/>
      <c r="D691" s="4"/>
    </row>
    <row r="692" spans="2:4" ht="14.25" customHeight="1" x14ac:dyDescent="0.35">
      <c r="B692" s="4"/>
      <c r="C692" s="4"/>
      <c r="D692" s="4"/>
    </row>
    <row r="693" spans="2:4" ht="14.25" customHeight="1" x14ac:dyDescent="0.35">
      <c r="B693" s="4"/>
      <c r="C693" s="4"/>
      <c r="D693" s="4"/>
    </row>
    <row r="694" spans="2:4" ht="14.25" customHeight="1" x14ac:dyDescent="0.35">
      <c r="B694" s="4"/>
      <c r="C694" s="4"/>
      <c r="D694" s="4"/>
    </row>
    <row r="695" spans="2:4" ht="14.25" customHeight="1" x14ac:dyDescent="0.35">
      <c r="B695" s="4"/>
      <c r="C695" s="4"/>
      <c r="D695" s="4"/>
    </row>
    <row r="696" spans="2:4" ht="14.25" customHeight="1" x14ac:dyDescent="0.35">
      <c r="B696" s="4"/>
      <c r="C696" s="4"/>
      <c r="D696" s="4"/>
    </row>
    <row r="697" spans="2:4" ht="14.25" customHeight="1" x14ac:dyDescent="0.35">
      <c r="B697" s="4"/>
      <c r="C697" s="4"/>
      <c r="D697" s="4"/>
    </row>
    <row r="698" spans="2:4" ht="14.25" customHeight="1" x14ac:dyDescent="0.35">
      <c r="B698" s="4"/>
      <c r="C698" s="4"/>
      <c r="D698" s="4"/>
    </row>
    <row r="699" spans="2:4" ht="14.25" customHeight="1" x14ac:dyDescent="0.35">
      <c r="B699" s="4"/>
      <c r="C699" s="4"/>
      <c r="D699" s="4"/>
    </row>
    <row r="700" spans="2:4" ht="14.25" customHeight="1" x14ac:dyDescent="0.35">
      <c r="B700" s="4"/>
      <c r="C700" s="4"/>
      <c r="D700" s="4"/>
    </row>
    <row r="701" spans="2:4" ht="14.25" customHeight="1" x14ac:dyDescent="0.35">
      <c r="B701" s="4"/>
      <c r="C701" s="4"/>
      <c r="D701" s="4"/>
    </row>
    <row r="702" spans="2:4" ht="14.25" customHeight="1" x14ac:dyDescent="0.35">
      <c r="B702" s="4"/>
      <c r="C702" s="4"/>
      <c r="D702" s="4"/>
    </row>
    <row r="703" spans="2:4" ht="14.25" customHeight="1" x14ac:dyDescent="0.35">
      <c r="B703" s="4"/>
      <c r="C703" s="4"/>
      <c r="D703" s="4"/>
    </row>
    <row r="704" spans="2:4" ht="14.25" customHeight="1" x14ac:dyDescent="0.35">
      <c r="B704" s="4"/>
      <c r="C704" s="4"/>
      <c r="D704" s="4"/>
    </row>
    <row r="705" spans="2:4" ht="14.25" customHeight="1" x14ac:dyDescent="0.35">
      <c r="B705" s="4"/>
      <c r="C705" s="4"/>
      <c r="D705" s="4"/>
    </row>
    <row r="706" spans="2:4" ht="14.25" customHeight="1" x14ac:dyDescent="0.35">
      <c r="B706" s="4"/>
      <c r="C706" s="4"/>
      <c r="D706" s="4"/>
    </row>
    <row r="707" spans="2:4" ht="14.25" customHeight="1" x14ac:dyDescent="0.35">
      <c r="B707" s="4"/>
      <c r="C707" s="4"/>
      <c r="D707" s="4"/>
    </row>
    <row r="708" spans="2:4" ht="14.25" customHeight="1" x14ac:dyDescent="0.35">
      <c r="B708" s="4"/>
      <c r="C708" s="4"/>
      <c r="D708" s="4"/>
    </row>
    <row r="709" spans="2:4" ht="14.25" customHeight="1" x14ac:dyDescent="0.35">
      <c r="B709" s="4"/>
      <c r="C709" s="4"/>
      <c r="D709" s="4"/>
    </row>
    <row r="710" spans="2:4" ht="14.25" customHeight="1" x14ac:dyDescent="0.35">
      <c r="B710" s="4"/>
      <c r="C710" s="4"/>
      <c r="D710" s="4"/>
    </row>
    <row r="711" spans="2:4" ht="14.25" customHeight="1" x14ac:dyDescent="0.35">
      <c r="B711" s="4"/>
      <c r="C711" s="4"/>
      <c r="D711" s="4"/>
    </row>
    <row r="712" spans="2:4" ht="14.25" customHeight="1" x14ac:dyDescent="0.35">
      <c r="B712" s="4"/>
      <c r="C712" s="4"/>
      <c r="D712" s="4"/>
    </row>
    <row r="713" spans="2:4" ht="14.25" customHeight="1" x14ac:dyDescent="0.35">
      <c r="B713" s="4"/>
      <c r="C713" s="4"/>
      <c r="D713" s="4"/>
    </row>
    <row r="714" spans="2:4" ht="14.25" customHeight="1" x14ac:dyDescent="0.35">
      <c r="B714" s="4"/>
      <c r="C714" s="4"/>
      <c r="D714" s="4"/>
    </row>
    <row r="715" spans="2:4" ht="14.25" customHeight="1" x14ac:dyDescent="0.35">
      <c r="B715" s="4"/>
      <c r="C715" s="4"/>
      <c r="D715" s="4"/>
    </row>
    <row r="716" spans="2:4" ht="14.25" customHeight="1" x14ac:dyDescent="0.35">
      <c r="B716" s="4"/>
      <c r="C716" s="4"/>
      <c r="D716" s="4"/>
    </row>
    <row r="717" spans="2:4" ht="14.25" customHeight="1" x14ac:dyDescent="0.35">
      <c r="B717" s="4"/>
      <c r="C717" s="4"/>
      <c r="D717" s="4"/>
    </row>
    <row r="718" spans="2:4" ht="14.25" customHeight="1" x14ac:dyDescent="0.35">
      <c r="B718" s="4"/>
      <c r="C718" s="4"/>
      <c r="D718" s="4"/>
    </row>
    <row r="719" spans="2:4" ht="14.25" customHeight="1" x14ac:dyDescent="0.35">
      <c r="B719" s="4"/>
      <c r="C719" s="4"/>
      <c r="D719" s="4"/>
    </row>
    <row r="720" spans="2:4" ht="14.25" customHeight="1" x14ac:dyDescent="0.35">
      <c r="B720" s="4"/>
      <c r="C720" s="4"/>
      <c r="D720" s="4"/>
    </row>
    <row r="721" spans="2:4" ht="14.25" customHeight="1" x14ac:dyDescent="0.35">
      <c r="B721" s="4"/>
      <c r="C721" s="4"/>
      <c r="D721" s="4"/>
    </row>
    <row r="722" spans="2:4" ht="14.25" customHeight="1" x14ac:dyDescent="0.35">
      <c r="B722" s="4"/>
      <c r="C722" s="4"/>
      <c r="D722" s="4"/>
    </row>
    <row r="723" spans="2:4" ht="14.25" customHeight="1" x14ac:dyDescent="0.35">
      <c r="B723" s="4"/>
      <c r="C723" s="4"/>
      <c r="D723" s="4"/>
    </row>
    <row r="724" spans="2:4" ht="14.25" customHeight="1" x14ac:dyDescent="0.35">
      <c r="B724" s="4"/>
      <c r="C724" s="4"/>
      <c r="D724" s="4"/>
    </row>
    <row r="725" spans="2:4" ht="14.25" customHeight="1" x14ac:dyDescent="0.35">
      <c r="B725" s="4"/>
      <c r="C725" s="4"/>
      <c r="D725" s="4"/>
    </row>
    <row r="726" spans="2:4" ht="14.25" customHeight="1" x14ac:dyDescent="0.35">
      <c r="B726" s="4"/>
      <c r="C726" s="4"/>
      <c r="D726" s="4"/>
    </row>
    <row r="727" spans="2:4" ht="14.25" customHeight="1" x14ac:dyDescent="0.35">
      <c r="B727" s="4"/>
      <c r="C727" s="4"/>
      <c r="D727" s="4"/>
    </row>
    <row r="728" spans="2:4" ht="14.25" customHeight="1" x14ac:dyDescent="0.35">
      <c r="B728" s="4"/>
      <c r="C728" s="4"/>
      <c r="D728" s="4"/>
    </row>
    <row r="729" spans="2:4" ht="14.25" customHeight="1" x14ac:dyDescent="0.35">
      <c r="B729" s="4"/>
      <c r="C729" s="4"/>
      <c r="D729" s="4"/>
    </row>
    <row r="730" spans="2:4" ht="14.25" customHeight="1" x14ac:dyDescent="0.35">
      <c r="B730" s="4"/>
      <c r="C730" s="4"/>
      <c r="D730" s="4"/>
    </row>
    <row r="731" spans="2:4" ht="14.25" customHeight="1" x14ac:dyDescent="0.35">
      <c r="B731" s="4"/>
      <c r="C731" s="4"/>
      <c r="D731" s="4"/>
    </row>
    <row r="732" spans="2:4" ht="14.25" customHeight="1" x14ac:dyDescent="0.35">
      <c r="B732" s="4"/>
      <c r="C732" s="4"/>
      <c r="D732" s="4"/>
    </row>
    <row r="733" spans="2:4" ht="14.25" customHeight="1" x14ac:dyDescent="0.35">
      <c r="B733" s="4"/>
      <c r="C733" s="4"/>
      <c r="D733" s="4"/>
    </row>
    <row r="734" spans="2:4" ht="14.25" customHeight="1" x14ac:dyDescent="0.35">
      <c r="B734" s="4"/>
      <c r="C734" s="4"/>
      <c r="D734" s="4"/>
    </row>
    <row r="735" spans="2:4" ht="14.25" customHeight="1" x14ac:dyDescent="0.35">
      <c r="B735" s="4"/>
      <c r="C735" s="4"/>
      <c r="D735" s="4"/>
    </row>
    <row r="736" spans="2:4" ht="14.25" customHeight="1" x14ac:dyDescent="0.35">
      <c r="B736" s="4"/>
      <c r="C736" s="4"/>
      <c r="D736" s="4"/>
    </row>
    <row r="737" spans="2:4" ht="14.25" customHeight="1" x14ac:dyDescent="0.35">
      <c r="B737" s="4"/>
      <c r="C737" s="4"/>
      <c r="D737" s="4"/>
    </row>
    <row r="738" spans="2:4" ht="14.25" customHeight="1" x14ac:dyDescent="0.35">
      <c r="B738" s="4"/>
      <c r="C738" s="4"/>
      <c r="D738" s="4"/>
    </row>
    <row r="739" spans="2:4" ht="14.25" customHeight="1" x14ac:dyDescent="0.35">
      <c r="B739" s="4"/>
      <c r="C739" s="4"/>
      <c r="D739" s="4"/>
    </row>
    <row r="740" spans="2:4" ht="14.25" customHeight="1" x14ac:dyDescent="0.35">
      <c r="B740" s="4"/>
      <c r="C740" s="4"/>
      <c r="D740" s="4"/>
    </row>
    <row r="741" spans="2:4" ht="14.25" customHeight="1" x14ac:dyDescent="0.35">
      <c r="B741" s="4"/>
      <c r="C741" s="4"/>
      <c r="D741" s="4"/>
    </row>
    <row r="742" spans="2:4" ht="14.25" customHeight="1" x14ac:dyDescent="0.35">
      <c r="B742" s="4"/>
      <c r="C742" s="4"/>
      <c r="D742" s="4"/>
    </row>
    <row r="743" spans="2:4" ht="14.25" customHeight="1" x14ac:dyDescent="0.35">
      <c r="B743" s="4"/>
      <c r="C743" s="4"/>
      <c r="D743" s="4"/>
    </row>
    <row r="744" spans="2:4" ht="14.25" customHeight="1" x14ac:dyDescent="0.35">
      <c r="B744" s="4"/>
      <c r="C744" s="4"/>
      <c r="D744" s="4"/>
    </row>
    <row r="745" spans="2:4" ht="14.25" customHeight="1" x14ac:dyDescent="0.35">
      <c r="B745" s="4"/>
      <c r="C745" s="4"/>
      <c r="D745" s="4"/>
    </row>
    <row r="746" spans="2:4" ht="14.25" customHeight="1" x14ac:dyDescent="0.35">
      <c r="B746" s="4"/>
      <c r="C746" s="4"/>
      <c r="D746" s="4"/>
    </row>
    <row r="747" spans="2:4" ht="14.25" customHeight="1" x14ac:dyDescent="0.35">
      <c r="B747" s="4"/>
      <c r="C747" s="4"/>
      <c r="D747" s="4"/>
    </row>
    <row r="748" spans="2:4" ht="14.25" customHeight="1" x14ac:dyDescent="0.35">
      <c r="B748" s="4"/>
      <c r="C748" s="4"/>
      <c r="D748" s="4"/>
    </row>
    <row r="749" spans="2:4" ht="14.25" customHeight="1" x14ac:dyDescent="0.35">
      <c r="B749" s="4"/>
      <c r="C749" s="4"/>
      <c r="D749" s="4"/>
    </row>
    <row r="750" spans="2:4" ht="14.25" customHeight="1" x14ac:dyDescent="0.35">
      <c r="B750" s="4"/>
      <c r="C750" s="4"/>
      <c r="D750" s="4"/>
    </row>
    <row r="751" spans="2:4" ht="14.25" customHeight="1" x14ac:dyDescent="0.35">
      <c r="B751" s="4"/>
      <c r="C751" s="4"/>
      <c r="D751" s="4"/>
    </row>
    <row r="752" spans="2:4" ht="14.25" customHeight="1" x14ac:dyDescent="0.35">
      <c r="B752" s="4"/>
      <c r="C752" s="4"/>
      <c r="D752" s="4"/>
    </row>
    <row r="753" spans="2:4" ht="14.25" customHeight="1" x14ac:dyDescent="0.35">
      <c r="B753" s="4"/>
      <c r="C753" s="4"/>
      <c r="D753" s="4"/>
    </row>
    <row r="754" spans="2:4" ht="14.25" customHeight="1" x14ac:dyDescent="0.35">
      <c r="B754" s="4"/>
      <c r="C754" s="4"/>
      <c r="D754" s="4"/>
    </row>
    <row r="755" spans="2:4" ht="14.25" customHeight="1" x14ac:dyDescent="0.35">
      <c r="B755" s="4"/>
      <c r="C755" s="4"/>
      <c r="D755" s="4"/>
    </row>
    <row r="756" spans="2:4" ht="14.25" customHeight="1" x14ac:dyDescent="0.35">
      <c r="B756" s="4"/>
      <c r="C756" s="4"/>
      <c r="D756" s="4"/>
    </row>
    <row r="757" spans="2:4" ht="14.25" customHeight="1" x14ac:dyDescent="0.35">
      <c r="B757" s="4"/>
      <c r="C757" s="4"/>
      <c r="D757" s="4"/>
    </row>
    <row r="758" spans="2:4" ht="14.25" customHeight="1" x14ac:dyDescent="0.35">
      <c r="B758" s="4"/>
      <c r="C758" s="4"/>
      <c r="D758" s="4"/>
    </row>
    <row r="759" spans="2:4" ht="14.25" customHeight="1" x14ac:dyDescent="0.35">
      <c r="B759" s="4"/>
      <c r="C759" s="4"/>
      <c r="D759" s="4"/>
    </row>
    <row r="760" spans="2:4" ht="14.25" customHeight="1" x14ac:dyDescent="0.35">
      <c r="B760" s="4"/>
      <c r="C760" s="4"/>
      <c r="D760" s="4"/>
    </row>
    <row r="761" spans="2:4" ht="14.25" customHeight="1" x14ac:dyDescent="0.35">
      <c r="B761" s="4"/>
      <c r="C761" s="4"/>
      <c r="D761" s="4"/>
    </row>
    <row r="762" spans="2:4" ht="14.25" customHeight="1" x14ac:dyDescent="0.35">
      <c r="B762" s="4"/>
      <c r="C762" s="4"/>
      <c r="D762" s="4"/>
    </row>
    <row r="763" spans="2:4" ht="14.25" customHeight="1" x14ac:dyDescent="0.35">
      <c r="B763" s="4"/>
      <c r="C763" s="4"/>
      <c r="D763" s="4"/>
    </row>
    <row r="764" spans="2:4" ht="14.25" customHeight="1" x14ac:dyDescent="0.35">
      <c r="B764" s="4"/>
      <c r="C764" s="4"/>
      <c r="D764" s="4"/>
    </row>
    <row r="765" spans="2:4" ht="14.25" customHeight="1" x14ac:dyDescent="0.35">
      <c r="B765" s="4"/>
      <c r="C765" s="4"/>
      <c r="D765" s="4"/>
    </row>
    <row r="766" spans="2:4" ht="14.25" customHeight="1" x14ac:dyDescent="0.35">
      <c r="B766" s="4"/>
      <c r="C766" s="4"/>
      <c r="D766" s="4"/>
    </row>
    <row r="767" spans="2:4" ht="14.25" customHeight="1" x14ac:dyDescent="0.35">
      <c r="B767" s="4"/>
      <c r="C767" s="4"/>
      <c r="D767" s="4"/>
    </row>
    <row r="768" spans="2:4" ht="14.25" customHeight="1" x14ac:dyDescent="0.35">
      <c r="B768" s="4"/>
      <c r="C768" s="4"/>
      <c r="D768" s="4"/>
    </row>
    <row r="769" spans="2:4" ht="14.25" customHeight="1" x14ac:dyDescent="0.35">
      <c r="B769" s="4"/>
      <c r="C769" s="4"/>
      <c r="D769" s="4"/>
    </row>
    <row r="770" spans="2:4" ht="14.25" customHeight="1" x14ac:dyDescent="0.35">
      <c r="B770" s="4"/>
      <c r="C770" s="4"/>
      <c r="D770" s="4"/>
    </row>
    <row r="771" spans="2:4" ht="14.25" customHeight="1" x14ac:dyDescent="0.35">
      <c r="B771" s="4"/>
      <c r="C771" s="4"/>
      <c r="D771" s="4"/>
    </row>
    <row r="772" spans="2:4" ht="14.25" customHeight="1" x14ac:dyDescent="0.35">
      <c r="B772" s="4"/>
      <c r="C772" s="4"/>
      <c r="D772" s="4"/>
    </row>
    <row r="773" spans="2:4" ht="14.25" customHeight="1" x14ac:dyDescent="0.35">
      <c r="B773" s="4"/>
      <c r="C773" s="4"/>
      <c r="D773" s="4"/>
    </row>
    <row r="774" spans="2:4" ht="14.25" customHeight="1" x14ac:dyDescent="0.35">
      <c r="B774" s="4"/>
      <c r="C774" s="4"/>
      <c r="D774" s="4"/>
    </row>
    <row r="775" spans="2:4" ht="14.25" customHeight="1" x14ac:dyDescent="0.35">
      <c r="B775" s="4"/>
      <c r="C775" s="4"/>
      <c r="D775" s="4"/>
    </row>
    <row r="776" spans="2:4" ht="14.25" customHeight="1" x14ac:dyDescent="0.35">
      <c r="B776" s="4"/>
      <c r="C776" s="4"/>
      <c r="D776" s="4"/>
    </row>
    <row r="777" spans="2:4" ht="14.25" customHeight="1" x14ac:dyDescent="0.35">
      <c r="B777" s="4"/>
      <c r="C777" s="4"/>
      <c r="D777" s="4"/>
    </row>
    <row r="778" spans="2:4" ht="14.25" customHeight="1" x14ac:dyDescent="0.35">
      <c r="B778" s="4"/>
      <c r="C778" s="4"/>
      <c r="D778" s="4"/>
    </row>
    <row r="779" spans="2:4" ht="14.25" customHeight="1" x14ac:dyDescent="0.35">
      <c r="B779" s="4"/>
      <c r="C779" s="4"/>
      <c r="D779" s="4"/>
    </row>
    <row r="780" spans="2:4" ht="14.25" customHeight="1" x14ac:dyDescent="0.35">
      <c r="B780" s="4"/>
      <c r="C780" s="4"/>
      <c r="D780" s="4"/>
    </row>
    <row r="781" spans="2:4" ht="14.25" customHeight="1" x14ac:dyDescent="0.35">
      <c r="B781" s="4"/>
      <c r="C781" s="4"/>
      <c r="D781" s="4"/>
    </row>
    <row r="782" spans="2:4" ht="14.25" customHeight="1" x14ac:dyDescent="0.35">
      <c r="B782" s="4"/>
      <c r="C782" s="4"/>
      <c r="D782" s="4"/>
    </row>
    <row r="783" spans="2:4" ht="14.25" customHeight="1" x14ac:dyDescent="0.35">
      <c r="B783" s="4"/>
      <c r="C783" s="4"/>
      <c r="D783" s="4"/>
    </row>
    <row r="784" spans="2:4" ht="14.25" customHeight="1" x14ac:dyDescent="0.35">
      <c r="B784" s="4"/>
      <c r="C784" s="4"/>
      <c r="D784" s="4"/>
    </row>
    <row r="785" spans="2:4" ht="14.25" customHeight="1" x14ac:dyDescent="0.35">
      <c r="B785" s="4"/>
      <c r="C785" s="4"/>
      <c r="D785" s="4"/>
    </row>
    <row r="786" spans="2:4" ht="14.25" customHeight="1" x14ac:dyDescent="0.35">
      <c r="B786" s="4"/>
      <c r="C786" s="4"/>
      <c r="D786" s="4"/>
    </row>
    <row r="787" spans="2:4" ht="14.25" customHeight="1" x14ac:dyDescent="0.35">
      <c r="B787" s="4"/>
      <c r="C787" s="4"/>
      <c r="D787" s="4"/>
    </row>
    <row r="788" spans="2:4" ht="14.25" customHeight="1" x14ac:dyDescent="0.35">
      <c r="B788" s="4"/>
      <c r="C788" s="4"/>
      <c r="D788" s="4"/>
    </row>
    <row r="789" spans="2:4" ht="14.25" customHeight="1" x14ac:dyDescent="0.35">
      <c r="B789" s="4"/>
      <c r="C789" s="4"/>
      <c r="D789" s="4"/>
    </row>
    <row r="790" spans="2:4" ht="14.25" customHeight="1" x14ac:dyDescent="0.35">
      <c r="B790" s="4"/>
      <c r="C790" s="4"/>
      <c r="D790" s="4"/>
    </row>
    <row r="791" spans="2:4" ht="14.25" customHeight="1" x14ac:dyDescent="0.35">
      <c r="B791" s="4"/>
      <c r="C791" s="4"/>
      <c r="D791" s="4"/>
    </row>
    <row r="792" spans="2:4" ht="14.25" customHeight="1" x14ac:dyDescent="0.35">
      <c r="B792" s="4"/>
      <c r="C792" s="4"/>
      <c r="D792" s="4"/>
    </row>
    <row r="793" spans="2:4" ht="14.25" customHeight="1" x14ac:dyDescent="0.35">
      <c r="B793" s="4"/>
      <c r="C793" s="4"/>
      <c r="D793" s="4"/>
    </row>
    <row r="794" spans="2:4" ht="14.25" customHeight="1" x14ac:dyDescent="0.35">
      <c r="B794" s="4"/>
      <c r="C794" s="4"/>
      <c r="D794" s="4"/>
    </row>
    <row r="795" spans="2:4" ht="14.25" customHeight="1" x14ac:dyDescent="0.35">
      <c r="B795" s="4"/>
      <c r="C795" s="4"/>
      <c r="D795" s="4"/>
    </row>
    <row r="796" spans="2:4" ht="14.25" customHeight="1" x14ac:dyDescent="0.35">
      <c r="B796" s="4"/>
      <c r="C796" s="4"/>
      <c r="D796" s="4"/>
    </row>
    <row r="797" spans="2:4" ht="14.25" customHeight="1" x14ac:dyDescent="0.35">
      <c r="B797" s="4"/>
      <c r="C797" s="4"/>
      <c r="D797" s="4"/>
    </row>
    <row r="798" spans="2:4" ht="14.25" customHeight="1" x14ac:dyDescent="0.35">
      <c r="B798" s="4"/>
      <c r="C798" s="4"/>
      <c r="D798" s="4"/>
    </row>
    <row r="799" spans="2:4" ht="14.25" customHeight="1" x14ac:dyDescent="0.35">
      <c r="B799" s="4"/>
      <c r="C799" s="4"/>
      <c r="D799" s="4"/>
    </row>
    <row r="800" spans="2:4" ht="14.25" customHeight="1" x14ac:dyDescent="0.35">
      <c r="B800" s="4"/>
      <c r="C800" s="4"/>
      <c r="D800" s="4"/>
    </row>
    <row r="801" spans="2:4" ht="14.25" customHeight="1" x14ac:dyDescent="0.35">
      <c r="B801" s="4"/>
      <c r="C801" s="4"/>
      <c r="D801" s="4"/>
    </row>
    <row r="802" spans="2:4" ht="14.25" customHeight="1" x14ac:dyDescent="0.35">
      <c r="B802" s="4"/>
      <c r="C802" s="4"/>
      <c r="D802" s="4"/>
    </row>
    <row r="803" spans="2:4" ht="14.25" customHeight="1" x14ac:dyDescent="0.35">
      <c r="B803" s="4"/>
      <c r="C803" s="4"/>
      <c r="D803" s="4"/>
    </row>
    <row r="804" spans="2:4" ht="14.25" customHeight="1" x14ac:dyDescent="0.35">
      <c r="B804" s="4"/>
      <c r="C804" s="4"/>
      <c r="D804" s="4"/>
    </row>
    <row r="805" spans="2:4" ht="14.25" customHeight="1" x14ac:dyDescent="0.35">
      <c r="B805" s="4"/>
      <c r="C805" s="4"/>
      <c r="D805" s="4"/>
    </row>
    <row r="806" spans="2:4" ht="14.25" customHeight="1" x14ac:dyDescent="0.35">
      <c r="B806" s="4"/>
      <c r="C806" s="4"/>
      <c r="D806" s="4"/>
    </row>
    <row r="807" spans="2:4" ht="14.25" customHeight="1" x14ac:dyDescent="0.35">
      <c r="B807" s="4"/>
      <c r="C807" s="4"/>
      <c r="D807" s="4"/>
    </row>
    <row r="808" spans="2:4" ht="14.25" customHeight="1" x14ac:dyDescent="0.35">
      <c r="B808" s="4"/>
      <c r="C808" s="4"/>
      <c r="D808" s="4"/>
    </row>
    <row r="809" spans="2:4" ht="14.25" customHeight="1" x14ac:dyDescent="0.35">
      <c r="B809" s="4"/>
      <c r="C809" s="4"/>
      <c r="D809" s="4"/>
    </row>
    <row r="810" spans="2:4" ht="14.25" customHeight="1" x14ac:dyDescent="0.35">
      <c r="B810" s="4"/>
      <c r="C810" s="4"/>
      <c r="D810" s="4"/>
    </row>
    <row r="811" spans="2:4" ht="14.25" customHeight="1" x14ac:dyDescent="0.35">
      <c r="B811" s="4"/>
      <c r="C811" s="4"/>
      <c r="D811" s="4"/>
    </row>
    <row r="812" spans="2:4" ht="14.25" customHeight="1" x14ac:dyDescent="0.35">
      <c r="B812" s="4"/>
      <c r="C812" s="4"/>
      <c r="D812" s="4"/>
    </row>
    <row r="813" spans="2:4" ht="14.25" customHeight="1" x14ac:dyDescent="0.35">
      <c r="B813" s="4"/>
      <c r="C813" s="4"/>
      <c r="D813" s="4"/>
    </row>
    <row r="814" spans="2:4" ht="14.25" customHeight="1" x14ac:dyDescent="0.35">
      <c r="B814" s="4"/>
      <c r="C814" s="4"/>
      <c r="D814" s="4"/>
    </row>
    <row r="815" spans="2:4" ht="14.25" customHeight="1" x14ac:dyDescent="0.35">
      <c r="B815" s="4"/>
      <c r="C815" s="4"/>
      <c r="D815" s="4"/>
    </row>
    <row r="816" spans="2:4" ht="14.25" customHeight="1" x14ac:dyDescent="0.35">
      <c r="B816" s="4"/>
      <c r="C816" s="4"/>
      <c r="D816" s="4"/>
    </row>
    <row r="817" spans="2:4" ht="14.25" customHeight="1" x14ac:dyDescent="0.35">
      <c r="B817" s="4"/>
      <c r="C817" s="4"/>
      <c r="D817" s="4"/>
    </row>
    <row r="818" spans="2:4" ht="14.25" customHeight="1" x14ac:dyDescent="0.35">
      <c r="B818" s="4"/>
      <c r="C818" s="4"/>
      <c r="D818" s="4"/>
    </row>
    <row r="819" spans="2:4" ht="14.25" customHeight="1" x14ac:dyDescent="0.35">
      <c r="B819" s="4"/>
      <c r="C819" s="4"/>
      <c r="D819" s="4"/>
    </row>
    <row r="820" spans="2:4" ht="14.25" customHeight="1" x14ac:dyDescent="0.35">
      <c r="B820" s="4"/>
      <c r="C820" s="4"/>
      <c r="D820" s="4"/>
    </row>
    <row r="821" spans="2:4" ht="14.25" customHeight="1" x14ac:dyDescent="0.35">
      <c r="B821" s="4"/>
      <c r="C821" s="4"/>
      <c r="D821" s="4"/>
    </row>
    <row r="822" spans="2:4" ht="14.25" customHeight="1" x14ac:dyDescent="0.35">
      <c r="B822" s="4"/>
      <c r="C822" s="4"/>
      <c r="D822" s="4"/>
    </row>
    <row r="823" spans="2:4" ht="14.25" customHeight="1" x14ac:dyDescent="0.35">
      <c r="B823" s="4"/>
      <c r="C823" s="4"/>
      <c r="D823" s="4"/>
    </row>
    <row r="824" spans="2:4" ht="14.25" customHeight="1" x14ac:dyDescent="0.35">
      <c r="B824" s="4"/>
      <c r="C824" s="4"/>
      <c r="D824" s="4"/>
    </row>
    <row r="825" spans="2:4" ht="14.25" customHeight="1" x14ac:dyDescent="0.35">
      <c r="B825" s="4"/>
      <c r="C825" s="4"/>
      <c r="D825" s="4"/>
    </row>
    <row r="826" spans="2:4" ht="14.25" customHeight="1" x14ac:dyDescent="0.35">
      <c r="B826" s="4"/>
      <c r="C826" s="4"/>
      <c r="D826" s="4"/>
    </row>
    <row r="827" spans="2:4" ht="14.25" customHeight="1" x14ac:dyDescent="0.35">
      <c r="B827" s="4"/>
      <c r="C827" s="4"/>
      <c r="D827" s="4"/>
    </row>
    <row r="828" spans="2:4" ht="14.25" customHeight="1" x14ac:dyDescent="0.35">
      <c r="B828" s="4"/>
      <c r="C828" s="4"/>
      <c r="D828" s="4"/>
    </row>
    <row r="829" spans="2:4" ht="14.25" customHeight="1" x14ac:dyDescent="0.35">
      <c r="B829" s="4"/>
      <c r="C829" s="4"/>
      <c r="D829" s="4"/>
    </row>
    <row r="830" spans="2:4" ht="14.25" customHeight="1" x14ac:dyDescent="0.35">
      <c r="B830" s="4"/>
      <c r="C830" s="4"/>
      <c r="D830" s="4"/>
    </row>
    <row r="831" spans="2:4" ht="14.25" customHeight="1" x14ac:dyDescent="0.35">
      <c r="B831" s="4"/>
      <c r="C831" s="4"/>
      <c r="D831" s="4"/>
    </row>
    <row r="832" spans="2:4" ht="14.25" customHeight="1" x14ac:dyDescent="0.35">
      <c r="B832" s="4"/>
      <c r="C832" s="4"/>
      <c r="D832" s="4"/>
    </row>
    <row r="833" spans="2:4" ht="14.25" customHeight="1" x14ac:dyDescent="0.35">
      <c r="B833" s="4"/>
      <c r="C833" s="4"/>
      <c r="D833" s="4"/>
    </row>
    <row r="834" spans="2:4" ht="14.25" customHeight="1" x14ac:dyDescent="0.35">
      <c r="B834" s="4"/>
      <c r="C834" s="4"/>
      <c r="D834" s="4"/>
    </row>
    <row r="835" spans="2:4" ht="14.25" customHeight="1" x14ac:dyDescent="0.35">
      <c r="B835" s="4"/>
      <c r="C835" s="4"/>
      <c r="D835" s="4"/>
    </row>
    <row r="836" spans="2:4" ht="14.25" customHeight="1" x14ac:dyDescent="0.35">
      <c r="B836" s="4"/>
      <c r="C836" s="4"/>
      <c r="D836" s="4"/>
    </row>
    <row r="837" spans="2:4" ht="14.25" customHeight="1" x14ac:dyDescent="0.35">
      <c r="B837" s="4"/>
      <c r="C837" s="4"/>
      <c r="D837" s="4"/>
    </row>
    <row r="838" spans="2:4" ht="14.25" customHeight="1" x14ac:dyDescent="0.35">
      <c r="B838" s="4"/>
      <c r="C838" s="4"/>
      <c r="D838" s="4"/>
    </row>
    <row r="839" spans="2:4" ht="14.25" customHeight="1" x14ac:dyDescent="0.35">
      <c r="B839" s="4"/>
      <c r="C839" s="4"/>
      <c r="D839" s="4"/>
    </row>
    <row r="840" spans="2:4" ht="14.25" customHeight="1" x14ac:dyDescent="0.35">
      <c r="B840" s="4"/>
      <c r="C840" s="4"/>
      <c r="D840" s="4"/>
    </row>
    <row r="841" spans="2:4" ht="14.25" customHeight="1" x14ac:dyDescent="0.35">
      <c r="B841" s="4"/>
      <c r="C841" s="4"/>
      <c r="D841" s="4"/>
    </row>
    <row r="842" spans="2:4" ht="14.25" customHeight="1" x14ac:dyDescent="0.35">
      <c r="B842" s="4"/>
      <c r="C842" s="4"/>
      <c r="D842" s="4"/>
    </row>
    <row r="843" spans="2:4" ht="14.25" customHeight="1" x14ac:dyDescent="0.35">
      <c r="B843" s="4"/>
      <c r="C843" s="4"/>
      <c r="D843" s="4"/>
    </row>
    <row r="844" spans="2:4" ht="14.25" customHeight="1" x14ac:dyDescent="0.35">
      <c r="B844" s="4"/>
      <c r="C844" s="4"/>
      <c r="D844" s="4"/>
    </row>
    <row r="845" spans="2:4" ht="14.25" customHeight="1" x14ac:dyDescent="0.35">
      <c r="B845" s="4"/>
      <c r="C845" s="4"/>
      <c r="D845" s="4"/>
    </row>
    <row r="846" spans="2:4" ht="14.25" customHeight="1" x14ac:dyDescent="0.35">
      <c r="B846" s="4"/>
      <c r="C846" s="4"/>
      <c r="D846" s="4"/>
    </row>
    <row r="847" spans="2:4" ht="14.25" customHeight="1" x14ac:dyDescent="0.35">
      <c r="B847" s="4"/>
      <c r="C847" s="4"/>
      <c r="D847" s="4"/>
    </row>
    <row r="848" spans="2:4" ht="14.25" customHeight="1" x14ac:dyDescent="0.35">
      <c r="B848" s="4"/>
      <c r="C848" s="4"/>
      <c r="D848" s="4"/>
    </row>
    <row r="849" spans="2:4" ht="14.25" customHeight="1" x14ac:dyDescent="0.35">
      <c r="B849" s="4"/>
      <c r="C849" s="4"/>
      <c r="D849" s="4"/>
    </row>
    <row r="850" spans="2:4" ht="14.25" customHeight="1" x14ac:dyDescent="0.35">
      <c r="B850" s="4"/>
      <c r="C850" s="4"/>
      <c r="D850" s="4"/>
    </row>
    <row r="851" spans="2:4" ht="14.25" customHeight="1" x14ac:dyDescent="0.35">
      <c r="B851" s="4"/>
      <c r="C851" s="4"/>
      <c r="D851" s="4"/>
    </row>
    <row r="852" spans="2:4" ht="14.25" customHeight="1" x14ac:dyDescent="0.35">
      <c r="B852" s="4"/>
      <c r="C852" s="4"/>
      <c r="D852" s="4"/>
    </row>
    <row r="853" spans="2:4" ht="14.25" customHeight="1" x14ac:dyDescent="0.35">
      <c r="B853" s="4"/>
      <c r="C853" s="4"/>
      <c r="D853" s="4"/>
    </row>
    <row r="854" spans="2:4" ht="14.25" customHeight="1" x14ac:dyDescent="0.35">
      <c r="B854" s="4"/>
      <c r="C854" s="4"/>
      <c r="D854" s="4"/>
    </row>
    <row r="855" spans="2:4" ht="14.25" customHeight="1" x14ac:dyDescent="0.35">
      <c r="B855" s="4"/>
      <c r="C855" s="4"/>
      <c r="D855" s="4"/>
    </row>
    <row r="856" spans="2:4" ht="14.25" customHeight="1" x14ac:dyDescent="0.35">
      <c r="B856" s="4"/>
      <c r="C856" s="4"/>
      <c r="D856" s="4"/>
    </row>
    <row r="857" spans="2:4" ht="14.25" customHeight="1" x14ac:dyDescent="0.35">
      <c r="B857" s="4"/>
      <c r="C857" s="4"/>
      <c r="D857" s="4"/>
    </row>
    <row r="858" spans="2:4" ht="14.25" customHeight="1" x14ac:dyDescent="0.35">
      <c r="B858" s="4"/>
      <c r="C858" s="4"/>
      <c r="D858" s="4"/>
    </row>
    <row r="859" spans="2:4" ht="14.25" customHeight="1" x14ac:dyDescent="0.35">
      <c r="B859" s="4"/>
      <c r="C859" s="4"/>
      <c r="D859" s="4"/>
    </row>
    <row r="860" spans="2:4" ht="14.25" customHeight="1" x14ac:dyDescent="0.35">
      <c r="B860" s="4"/>
      <c r="C860" s="4"/>
      <c r="D860" s="4"/>
    </row>
    <row r="861" spans="2:4" ht="14.25" customHeight="1" x14ac:dyDescent="0.35">
      <c r="B861" s="4"/>
      <c r="C861" s="4"/>
      <c r="D861" s="4"/>
    </row>
    <row r="862" spans="2:4" ht="14.25" customHeight="1" x14ac:dyDescent="0.35">
      <c r="B862" s="4"/>
      <c r="C862" s="4"/>
      <c r="D862" s="4"/>
    </row>
    <row r="863" spans="2:4" ht="14.25" customHeight="1" x14ac:dyDescent="0.35">
      <c r="B863" s="4"/>
      <c r="C863" s="4"/>
      <c r="D863" s="4"/>
    </row>
    <row r="864" spans="2:4" ht="14.25" customHeight="1" x14ac:dyDescent="0.35">
      <c r="B864" s="4"/>
      <c r="C864" s="4"/>
      <c r="D864" s="4"/>
    </row>
    <row r="865" spans="2:4" ht="14.25" customHeight="1" x14ac:dyDescent="0.35">
      <c r="B865" s="4"/>
      <c r="C865" s="4"/>
      <c r="D865" s="4"/>
    </row>
    <row r="866" spans="2:4" ht="14.25" customHeight="1" x14ac:dyDescent="0.35">
      <c r="B866" s="4"/>
      <c r="C866" s="4"/>
      <c r="D866" s="4"/>
    </row>
    <row r="867" spans="2:4" ht="14.25" customHeight="1" x14ac:dyDescent="0.35">
      <c r="B867" s="4"/>
      <c r="C867" s="4"/>
      <c r="D867" s="4"/>
    </row>
    <row r="868" spans="2:4" ht="14.25" customHeight="1" x14ac:dyDescent="0.35">
      <c r="B868" s="4"/>
      <c r="C868" s="4"/>
      <c r="D868" s="4"/>
    </row>
    <row r="869" spans="2:4" ht="14.25" customHeight="1" x14ac:dyDescent="0.35">
      <c r="B869" s="4"/>
      <c r="C869" s="4"/>
      <c r="D869" s="4"/>
    </row>
    <row r="870" spans="2:4" ht="14.25" customHeight="1" x14ac:dyDescent="0.35">
      <c r="B870" s="4"/>
      <c r="C870" s="4"/>
      <c r="D870" s="4"/>
    </row>
    <row r="871" spans="2:4" ht="14.25" customHeight="1" x14ac:dyDescent="0.35">
      <c r="B871" s="4"/>
      <c r="C871" s="4"/>
      <c r="D871" s="4"/>
    </row>
    <row r="872" spans="2:4" ht="14.25" customHeight="1" x14ac:dyDescent="0.35">
      <c r="B872" s="4"/>
      <c r="C872" s="4"/>
      <c r="D872" s="4"/>
    </row>
    <row r="873" spans="2:4" ht="14.25" customHeight="1" x14ac:dyDescent="0.35">
      <c r="B873" s="4"/>
      <c r="C873" s="4"/>
      <c r="D873" s="4"/>
    </row>
    <row r="874" spans="2:4" ht="14.25" customHeight="1" x14ac:dyDescent="0.35">
      <c r="B874" s="4"/>
      <c r="C874" s="4"/>
      <c r="D874" s="4"/>
    </row>
    <row r="875" spans="2:4" ht="14.25" customHeight="1" x14ac:dyDescent="0.35">
      <c r="B875" s="4"/>
      <c r="C875" s="4"/>
      <c r="D875" s="4"/>
    </row>
    <row r="876" spans="2:4" ht="14.25" customHeight="1" x14ac:dyDescent="0.35">
      <c r="B876" s="4"/>
      <c r="C876" s="4"/>
      <c r="D876" s="4"/>
    </row>
    <row r="877" spans="2:4" ht="14.25" customHeight="1" x14ac:dyDescent="0.35">
      <c r="B877" s="4"/>
      <c r="C877" s="4"/>
      <c r="D877" s="4"/>
    </row>
    <row r="878" spans="2:4" ht="14.25" customHeight="1" x14ac:dyDescent="0.35">
      <c r="B878" s="4"/>
      <c r="C878" s="4"/>
      <c r="D878" s="4"/>
    </row>
    <row r="879" spans="2:4" ht="14.25" customHeight="1" x14ac:dyDescent="0.35">
      <c r="B879" s="4"/>
      <c r="C879" s="4"/>
      <c r="D879" s="4"/>
    </row>
    <row r="880" spans="2:4" ht="14.25" customHeight="1" x14ac:dyDescent="0.35">
      <c r="B880" s="4"/>
      <c r="C880" s="4"/>
      <c r="D880" s="4"/>
    </row>
    <row r="881" spans="2:4" ht="14.25" customHeight="1" x14ac:dyDescent="0.35">
      <c r="B881" s="4"/>
      <c r="C881" s="4"/>
      <c r="D881" s="4"/>
    </row>
    <row r="882" spans="2:4" ht="14.25" customHeight="1" x14ac:dyDescent="0.35">
      <c r="B882" s="4"/>
      <c r="C882" s="4"/>
      <c r="D882" s="4"/>
    </row>
    <row r="883" spans="2:4" ht="14.25" customHeight="1" x14ac:dyDescent="0.35">
      <c r="B883" s="4"/>
      <c r="C883" s="4"/>
      <c r="D883" s="4"/>
    </row>
    <row r="884" spans="2:4" ht="14.25" customHeight="1" x14ac:dyDescent="0.35">
      <c r="B884" s="4"/>
      <c r="C884" s="4"/>
      <c r="D884" s="4"/>
    </row>
    <row r="885" spans="2:4" ht="14.25" customHeight="1" x14ac:dyDescent="0.35">
      <c r="B885" s="4"/>
      <c r="C885" s="4"/>
      <c r="D885" s="4"/>
    </row>
    <row r="886" spans="2:4" ht="14.25" customHeight="1" x14ac:dyDescent="0.35">
      <c r="B886" s="4"/>
      <c r="C886" s="4"/>
      <c r="D886" s="4"/>
    </row>
    <row r="887" spans="2:4" ht="14.25" customHeight="1" x14ac:dyDescent="0.35">
      <c r="B887" s="4"/>
      <c r="C887" s="4"/>
      <c r="D887" s="4"/>
    </row>
    <row r="888" spans="2:4" ht="14.25" customHeight="1" x14ac:dyDescent="0.35">
      <c r="B888" s="4"/>
      <c r="C888" s="4"/>
      <c r="D888" s="4"/>
    </row>
    <row r="889" spans="2:4" ht="14.25" customHeight="1" x14ac:dyDescent="0.35">
      <c r="B889" s="4"/>
      <c r="C889" s="4"/>
      <c r="D889" s="4"/>
    </row>
    <row r="890" spans="2:4" ht="14.25" customHeight="1" x14ac:dyDescent="0.35">
      <c r="B890" s="4"/>
      <c r="C890" s="4"/>
      <c r="D890" s="4"/>
    </row>
    <row r="891" spans="2:4" ht="14.25" customHeight="1" x14ac:dyDescent="0.35">
      <c r="B891" s="4"/>
      <c r="C891" s="4"/>
      <c r="D891" s="4"/>
    </row>
    <row r="892" spans="2:4" ht="14.25" customHeight="1" x14ac:dyDescent="0.35">
      <c r="B892" s="4"/>
      <c r="C892" s="4"/>
      <c r="D892" s="4"/>
    </row>
    <row r="893" spans="2:4" ht="14.25" customHeight="1" x14ac:dyDescent="0.35">
      <c r="B893" s="4"/>
      <c r="C893" s="4"/>
      <c r="D893" s="4"/>
    </row>
    <row r="894" spans="2:4" ht="14.25" customHeight="1" x14ac:dyDescent="0.35">
      <c r="B894" s="4"/>
      <c r="C894" s="4"/>
      <c r="D894" s="4"/>
    </row>
    <row r="895" spans="2:4" ht="14.25" customHeight="1" x14ac:dyDescent="0.35">
      <c r="B895" s="4"/>
      <c r="C895" s="4"/>
      <c r="D895" s="4"/>
    </row>
    <row r="896" spans="2:4" ht="14.25" customHeight="1" x14ac:dyDescent="0.35">
      <c r="B896" s="4"/>
      <c r="C896" s="4"/>
      <c r="D896" s="4"/>
    </row>
    <row r="897" spans="2:4" ht="14.25" customHeight="1" x14ac:dyDescent="0.35">
      <c r="B897" s="4"/>
      <c r="C897" s="4"/>
      <c r="D897" s="4"/>
    </row>
    <row r="898" spans="2:4" ht="14.25" customHeight="1" x14ac:dyDescent="0.35">
      <c r="B898" s="4"/>
      <c r="C898" s="4"/>
      <c r="D898" s="4"/>
    </row>
    <row r="899" spans="2:4" ht="14.25" customHeight="1" x14ac:dyDescent="0.35">
      <c r="B899" s="4"/>
      <c r="C899" s="4"/>
      <c r="D899" s="4"/>
    </row>
    <row r="900" spans="2:4" ht="14.25" customHeight="1" x14ac:dyDescent="0.35">
      <c r="B900" s="4"/>
      <c r="C900" s="4"/>
      <c r="D900" s="4"/>
    </row>
    <row r="901" spans="2:4" ht="14.25" customHeight="1" x14ac:dyDescent="0.35">
      <c r="B901" s="4"/>
      <c r="C901" s="4"/>
      <c r="D901" s="4"/>
    </row>
    <row r="902" spans="2:4" ht="14.25" customHeight="1" x14ac:dyDescent="0.35">
      <c r="B902" s="4"/>
      <c r="C902" s="4"/>
      <c r="D902" s="4"/>
    </row>
    <row r="903" spans="2:4" ht="14.25" customHeight="1" x14ac:dyDescent="0.35">
      <c r="B903" s="4"/>
      <c r="C903" s="4"/>
      <c r="D903" s="4"/>
    </row>
    <row r="904" spans="2:4" ht="14.25" customHeight="1" x14ac:dyDescent="0.35">
      <c r="B904" s="4"/>
      <c r="C904" s="4"/>
      <c r="D904" s="4"/>
    </row>
    <row r="905" spans="2:4" ht="14.25" customHeight="1" x14ac:dyDescent="0.35">
      <c r="B905" s="4"/>
      <c r="C905" s="4"/>
      <c r="D905" s="4"/>
    </row>
    <row r="906" spans="2:4" ht="14.25" customHeight="1" x14ac:dyDescent="0.35">
      <c r="B906" s="4"/>
      <c r="C906" s="4"/>
      <c r="D906" s="4"/>
    </row>
    <row r="907" spans="2:4" ht="14.25" customHeight="1" x14ac:dyDescent="0.35">
      <c r="B907" s="4"/>
      <c r="C907" s="4"/>
      <c r="D907" s="4"/>
    </row>
    <row r="908" spans="2:4" ht="14.25" customHeight="1" x14ac:dyDescent="0.35">
      <c r="B908" s="4"/>
      <c r="C908" s="4"/>
      <c r="D908" s="4"/>
    </row>
    <row r="909" spans="2:4" ht="14.25" customHeight="1" x14ac:dyDescent="0.35">
      <c r="B909" s="4"/>
      <c r="C909" s="4"/>
      <c r="D909" s="4"/>
    </row>
    <row r="910" spans="2:4" ht="14.25" customHeight="1" x14ac:dyDescent="0.35">
      <c r="B910" s="4"/>
      <c r="C910" s="4"/>
      <c r="D910" s="4"/>
    </row>
    <row r="911" spans="2:4" ht="14.25" customHeight="1" x14ac:dyDescent="0.35">
      <c r="B911" s="4"/>
      <c r="C911" s="4"/>
      <c r="D911" s="4"/>
    </row>
    <row r="912" spans="2:4" ht="14.25" customHeight="1" x14ac:dyDescent="0.35">
      <c r="B912" s="4"/>
      <c r="C912" s="4"/>
      <c r="D912" s="4"/>
    </row>
    <row r="913" spans="2:4" ht="14.25" customHeight="1" x14ac:dyDescent="0.35">
      <c r="B913" s="4"/>
      <c r="C913" s="4"/>
      <c r="D913" s="4"/>
    </row>
    <row r="914" spans="2:4" ht="14.25" customHeight="1" x14ac:dyDescent="0.35">
      <c r="B914" s="4"/>
      <c r="C914" s="4"/>
      <c r="D914" s="4"/>
    </row>
    <row r="915" spans="2:4" ht="14.25" customHeight="1" x14ac:dyDescent="0.35">
      <c r="B915" s="4"/>
      <c r="C915" s="4"/>
      <c r="D915" s="4"/>
    </row>
    <row r="916" spans="2:4" ht="14.25" customHeight="1" x14ac:dyDescent="0.35">
      <c r="B916" s="4"/>
      <c r="C916" s="4"/>
      <c r="D916" s="4"/>
    </row>
    <row r="917" spans="2:4" ht="14.25" customHeight="1" x14ac:dyDescent="0.35">
      <c r="B917" s="4"/>
      <c r="C917" s="4"/>
      <c r="D917" s="4"/>
    </row>
    <row r="918" spans="2:4" ht="14.25" customHeight="1" x14ac:dyDescent="0.35">
      <c r="B918" s="4"/>
      <c r="C918" s="4"/>
      <c r="D918" s="4"/>
    </row>
    <row r="919" spans="2:4" ht="14.25" customHeight="1" x14ac:dyDescent="0.35">
      <c r="B919" s="4"/>
      <c r="C919" s="4"/>
      <c r="D919" s="4"/>
    </row>
    <row r="920" spans="2:4" ht="14.25" customHeight="1" x14ac:dyDescent="0.35">
      <c r="B920" s="4"/>
      <c r="C920" s="4"/>
      <c r="D920" s="4"/>
    </row>
    <row r="921" spans="2:4" ht="14.25" customHeight="1" x14ac:dyDescent="0.35">
      <c r="B921" s="4"/>
      <c r="C921" s="4"/>
      <c r="D921" s="4"/>
    </row>
    <row r="922" spans="2:4" ht="14.25" customHeight="1" x14ac:dyDescent="0.35">
      <c r="B922" s="4"/>
      <c r="C922" s="4"/>
      <c r="D922" s="4"/>
    </row>
    <row r="923" spans="2:4" ht="14.25" customHeight="1" x14ac:dyDescent="0.35">
      <c r="B923" s="4"/>
      <c r="C923" s="4"/>
      <c r="D923" s="4"/>
    </row>
    <row r="924" spans="2:4" ht="14.25" customHeight="1" x14ac:dyDescent="0.35">
      <c r="B924" s="4"/>
      <c r="C924" s="4"/>
      <c r="D924" s="4"/>
    </row>
    <row r="925" spans="2:4" ht="14.25" customHeight="1" x14ac:dyDescent="0.35">
      <c r="B925" s="4"/>
      <c r="C925" s="4"/>
      <c r="D925" s="4"/>
    </row>
    <row r="926" spans="2:4" ht="14.25" customHeight="1" x14ac:dyDescent="0.35">
      <c r="B926" s="4"/>
      <c r="C926" s="4"/>
      <c r="D926" s="4"/>
    </row>
    <row r="927" spans="2:4" ht="14.25" customHeight="1" x14ac:dyDescent="0.35">
      <c r="B927" s="4"/>
      <c r="C927" s="4"/>
      <c r="D927" s="4"/>
    </row>
    <row r="928" spans="2:4" ht="14.25" customHeight="1" x14ac:dyDescent="0.35">
      <c r="B928" s="4"/>
      <c r="C928" s="4"/>
      <c r="D928" s="4"/>
    </row>
    <row r="929" spans="2:4" ht="14.25" customHeight="1" x14ac:dyDescent="0.35">
      <c r="B929" s="4"/>
      <c r="C929" s="4"/>
      <c r="D929" s="4"/>
    </row>
    <row r="930" spans="2:4" ht="14.25" customHeight="1" x14ac:dyDescent="0.35">
      <c r="B930" s="4"/>
      <c r="C930" s="4"/>
      <c r="D930" s="4"/>
    </row>
    <row r="931" spans="2:4" ht="14.25" customHeight="1" x14ac:dyDescent="0.35">
      <c r="B931" s="4"/>
      <c r="C931" s="4"/>
      <c r="D931" s="4"/>
    </row>
    <row r="932" spans="2:4" ht="14.25" customHeight="1" x14ac:dyDescent="0.35">
      <c r="B932" s="4"/>
      <c r="C932" s="4"/>
      <c r="D932" s="4"/>
    </row>
    <row r="933" spans="2:4" ht="14.25" customHeight="1" x14ac:dyDescent="0.35">
      <c r="B933" s="4"/>
      <c r="C933" s="4"/>
      <c r="D933" s="4"/>
    </row>
    <row r="934" spans="2:4" ht="14.25" customHeight="1" x14ac:dyDescent="0.35">
      <c r="B934" s="4"/>
      <c r="C934" s="4"/>
      <c r="D934" s="4"/>
    </row>
    <row r="935" spans="2:4" ht="14.25" customHeight="1" x14ac:dyDescent="0.35">
      <c r="B935" s="4"/>
      <c r="C935" s="4"/>
      <c r="D935" s="4"/>
    </row>
    <row r="936" spans="2:4" ht="14.25" customHeight="1" x14ac:dyDescent="0.35">
      <c r="B936" s="4"/>
      <c r="C936" s="4"/>
      <c r="D936" s="4"/>
    </row>
    <row r="937" spans="2:4" ht="14.25" customHeight="1" x14ac:dyDescent="0.35">
      <c r="B937" s="4"/>
      <c r="C937" s="4"/>
      <c r="D937" s="4"/>
    </row>
    <row r="938" spans="2:4" ht="14.25" customHeight="1" x14ac:dyDescent="0.35">
      <c r="B938" s="4"/>
      <c r="C938" s="4"/>
      <c r="D938" s="4"/>
    </row>
    <row r="939" spans="2:4" ht="14.25" customHeight="1" x14ac:dyDescent="0.35">
      <c r="B939" s="4"/>
      <c r="C939" s="4"/>
      <c r="D939" s="4"/>
    </row>
    <row r="940" spans="2:4" ht="14.25" customHeight="1" x14ac:dyDescent="0.35">
      <c r="B940" s="4"/>
      <c r="C940" s="4"/>
      <c r="D940" s="4"/>
    </row>
    <row r="941" spans="2:4" ht="14.25" customHeight="1" x14ac:dyDescent="0.35">
      <c r="B941" s="4"/>
      <c r="C941" s="4"/>
      <c r="D941" s="4"/>
    </row>
    <row r="942" spans="2:4" ht="14.25" customHeight="1" x14ac:dyDescent="0.35">
      <c r="B942" s="4"/>
      <c r="C942" s="4"/>
      <c r="D942" s="4"/>
    </row>
    <row r="943" spans="2:4" ht="14.25" customHeight="1" x14ac:dyDescent="0.35">
      <c r="B943" s="4"/>
      <c r="C943" s="4"/>
      <c r="D943" s="4"/>
    </row>
    <row r="944" spans="2:4" ht="14.25" customHeight="1" x14ac:dyDescent="0.35">
      <c r="B944" s="4"/>
      <c r="C944" s="4"/>
      <c r="D944" s="4"/>
    </row>
    <row r="945" spans="2:4" ht="14.25" customHeight="1" x14ac:dyDescent="0.35">
      <c r="B945" s="4"/>
      <c r="C945" s="4"/>
      <c r="D945" s="4"/>
    </row>
    <row r="946" spans="2:4" ht="14.25" customHeight="1" x14ac:dyDescent="0.35">
      <c r="B946" s="4"/>
      <c r="C946" s="4"/>
      <c r="D946" s="4"/>
    </row>
    <row r="947" spans="2:4" ht="14.25" customHeight="1" x14ac:dyDescent="0.35">
      <c r="B947" s="4"/>
      <c r="C947" s="4"/>
      <c r="D947" s="4"/>
    </row>
    <row r="948" spans="2:4" ht="14.25" customHeight="1" x14ac:dyDescent="0.35">
      <c r="B948" s="4"/>
      <c r="C948" s="4"/>
      <c r="D948" s="4"/>
    </row>
    <row r="949" spans="2:4" ht="14.25" customHeight="1" x14ac:dyDescent="0.35">
      <c r="B949" s="4"/>
      <c r="C949" s="4"/>
      <c r="D949" s="4"/>
    </row>
    <row r="950" spans="2:4" ht="14.25" customHeight="1" x14ac:dyDescent="0.35">
      <c r="B950" s="4"/>
      <c r="C950" s="4"/>
      <c r="D950" s="4"/>
    </row>
    <row r="951" spans="2:4" ht="14.25" customHeight="1" x14ac:dyDescent="0.35">
      <c r="B951" s="4"/>
      <c r="C951" s="4"/>
      <c r="D951" s="4"/>
    </row>
    <row r="952" spans="2:4" ht="14.25" customHeight="1" x14ac:dyDescent="0.35">
      <c r="B952" s="4"/>
      <c r="C952" s="4"/>
      <c r="D952" s="4"/>
    </row>
    <row r="953" spans="2:4" ht="14.25" customHeight="1" x14ac:dyDescent="0.35">
      <c r="B953" s="4"/>
      <c r="C953" s="4"/>
      <c r="D953" s="4"/>
    </row>
    <row r="954" spans="2:4" ht="14.25" customHeight="1" x14ac:dyDescent="0.35">
      <c r="B954" s="4"/>
      <c r="C954" s="4"/>
      <c r="D954" s="4"/>
    </row>
    <row r="955" spans="2:4" ht="14.25" customHeight="1" x14ac:dyDescent="0.35">
      <c r="B955" s="4"/>
      <c r="C955" s="4"/>
      <c r="D955" s="4"/>
    </row>
    <row r="956" spans="2:4" ht="14.25" customHeight="1" x14ac:dyDescent="0.35">
      <c r="B956" s="4"/>
      <c r="C956" s="4"/>
      <c r="D956" s="4"/>
    </row>
    <row r="957" spans="2:4" ht="14.25" customHeight="1" x14ac:dyDescent="0.35">
      <c r="B957" s="4"/>
      <c r="C957" s="4"/>
      <c r="D957" s="4"/>
    </row>
    <row r="958" spans="2:4" ht="14.25" customHeight="1" x14ac:dyDescent="0.35">
      <c r="B958" s="4"/>
      <c r="C958" s="4"/>
      <c r="D958" s="4"/>
    </row>
    <row r="959" spans="2:4" ht="14.25" customHeight="1" x14ac:dyDescent="0.35">
      <c r="B959" s="4"/>
      <c r="C959" s="4"/>
      <c r="D959" s="4"/>
    </row>
    <row r="960" spans="2:4" ht="14.25" customHeight="1" x14ac:dyDescent="0.35">
      <c r="B960" s="4"/>
      <c r="C960" s="4"/>
      <c r="D960" s="4"/>
    </row>
    <row r="961" spans="2:4" ht="14.25" customHeight="1" x14ac:dyDescent="0.35">
      <c r="B961" s="4"/>
      <c r="C961" s="4"/>
      <c r="D961" s="4"/>
    </row>
    <row r="962" spans="2:4" ht="14.25" customHeight="1" x14ac:dyDescent="0.35">
      <c r="B962" s="4"/>
      <c r="C962" s="4"/>
      <c r="D962" s="4"/>
    </row>
    <row r="963" spans="2:4" ht="14.25" customHeight="1" x14ac:dyDescent="0.35">
      <c r="B963" s="4"/>
      <c r="C963" s="4"/>
      <c r="D963" s="4"/>
    </row>
    <row r="964" spans="2:4" ht="14.25" customHeight="1" x14ac:dyDescent="0.35">
      <c r="B964" s="4"/>
      <c r="C964" s="4"/>
      <c r="D964" s="4"/>
    </row>
    <row r="965" spans="2:4" ht="14.25" customHeight="1" x14ac:dyDescent="0.35">
      <c r="B965" s="4"/>
      <c r="C965" s="4"/>
      <c r="D965" s="4"/>
    </row>
    <row r="966" spans="2:4" ht="14.25" customHeight="1" x14ac:dyDescent="0.35">
      <c r="B966" s="4"/>
      <c r="C966" s="4"/>
      <c r="D966" s="4"/>
    </row>
    <row r="967" spans="2:4" ht="14.25" customHeight="1" x14ac:dyDescent="0.35">
      <c r="B967" s="4"/>
      <c r="C967" s="4"/>
      <c r="D967" s="4"/>
    </row>
    <row r="968" spans="2:4" ht="14.25" customHeight="1" x14ac:dyDescent="0.35">
      <c r="B968" s="4"/>
      <c r="C968" s="4"/>
      <c r="D968" s="4"/>
    </row>
    <row r="969" spans="2:4" ht="14.25" customHeight="1" x14ac:dyDescent="0.35">
      <c r="B969" s="4"/>
      <c r="C969" s="4"/>
      <c r="D969" s="4"/>
    </row>
    <row r="970" spans="2:4" ht="14.25" customHeight="1" x14ac:dyDescent="0.35">
      <c r="B970" s="4"/>
      <c r="C970" s="4"/>
      <c r="D970" s="4"/>
    </row>
    <row r="971" spans="2:4" ht="14.25" customHeight="1" x14ac:dyDescent="0.35">
      <c r="B971" s="4"/>
      <c r="C971" s="4"/>
      <c r="D971" s="4"/>
    </row>
    <row r="972" spans="2:4" ht="14.25" customHeight="1" x14ac:dyDescent="0.35">
      <c r="B972" s="4"/>
      <c r="C972" s="4"/>
      <c r="D972" s="4"/>
    </row>
    <row r="973" spans="2:4" ht="14.25" customHeight="1" x14ac:dyDescent="0.35">
      <c r="B973" s="4"/>
      <c r="C973" s="4"/>
      <c r="D973" s="4"/>
    </row>
    <row r="974" spans="2:4" ht="14.25" customHeight="1" x14ac:dyDescent="0.35">
      <c r="B974" s="4"/>
      <c r="C974" s="4"/>
      <c r="D974" s="4"/>
    </row>
    <row r="975" spans="2:4" ht="14.25" customHeight="1" x14ac:dyDescent="0.35">
      <c r="B975" s="4"/>
      <c r="C975" s="4"/>
      <c r="D975" s="4"/>
    </row>
    <row r="976" spans="2:4" ht="14.25" customHeight="1" x14ac:dyDescent="0.35">
      <c r="B976" s="4"/>
      <c r="C976" s="4"/>
      <c r="D976" s="4"/>
    </row>
    <row r="977" spans="2:4" ht="14.25" customHeight="1" x14ac:dyDescent="0.35">
      <c r="B977" s="4"/>
      <c r="C977" s="4"/>
      <c r="D977" s="4"/>
    </row>
    <row r="978" spans="2:4" ht="14.25" customHeight="1" x14ac:dyDescent="0.35">
      <c r="B978" s="4"/>
      <c r="C978" s="4"/>
      <c r="D978" s="4"/>
    </row>
    <row r="979" spans="2:4" ht="14.25" customHeight="1" x14ac:dyDescent="0.35">
      <c r="B979" s="4"/>
      <c r="C979" s="4"/>
      <c r="D979" s="4"/>
    </row>
    <row r="980" spans="2:4" ht="14.25" customHeight="1" x14ac:dyDescent="0.35">
      <c r="B980" s="4"/>
      <c r="C980" s="4"/>
      <c r="D980" s="4"/>
    </row>
    <row r="981" spans="2:4" ht="14.25" customHeight="1" x14ac:dyDescent="0.35">
      <c r="B981" s="4"/>
      <c r="C981" s="4"/>
      <c r="D981" s="4"/>
    </row>
    <row r="982" spans="2:4" ht="14.25" customHeight="1" x14ac:dyDescent="0.35">
      <c r="B982" s="4"/>
      <c r="C982" s="4"/>
      <c r="D982" s="4"/>
    </row>
    <row r="983" spans="2:4" ht="14.25" customHeight="1" x14ac:dyDescent="0.35">
      <c r="B983" s="4"/>
      <c r="C983" s="4"/>
      <c r="D983" s="4"/>
    </row>
    <row r="984" spans="2:4" ht="14.25" customHeight="1" x14ac:dyDescent="0.35">
      <c r="B984" s="4"/>
      <c r="C984" s="4"/>
      <c r="D984" s="4"/>
    </row>
    <row r="985" spans="2:4" ht="14.25" customHeight="1" x14ac:dyDescent="0.35">
      <c r="B985" s="4"/>
      <c r="C985" s="4"/>
      <c r="D985" s="4"/>
    </row>
    <row r="986" spans="2:4" ht="14.25" customHeight="1" x14ac:dyDescent="0.35">
      <c r="B986" s="4"/>
      <c r="C986" s="4"/>
      <c r="D986" s="4"/>
    </row>
    <row r="987" spans="2:4" ht="14.25" customHeight="1" x14ac:dyDescent="0.35">
      <c r="B987" s="4"/>
      <c r="C987" s="4"/>
      <c r="D987" s="4"/>
    </row>
    <row r="988" spans="2:4" ht="14.25" customHeight="1" x14ac:dyDescent="0.35">
      <c r="B988" s="4"/>
      <c r="C988" s="4"/>
      <c r="D988" s="4"/>
    </row>
    <row r="989" spans="2:4" ht="14.25" customHeight="1" x14ac:dyDescent="0.35">
      <c r="B989" s="4"/>
      <c r="C989" s="4"/>
      <c r="D989" s="4"/>
    </row>
    <row r="990" spans="2:4" ht="14.25" customHeight="1" x14ac:dyDescent="0.35">
      <c r="B990" s="4"/>
      <c r="C990" s="4"/>
      <c r="D990" s="4"/>
    </row>
    <row r="991" spans="2:4" ht="14.25" customHeight="1" x14ac:dyDescent="0.35">
      <c r="B991" s="4"/>
      <c r="C991" s="4"/>
      <c r="D991" s="4"/>
    </row>
    <row r="992" spans="2:4" ht="14.25" customHeight="1" x14ac:dyDescent="0.35">
      <c r="B992" s="4"/>
      <c r="C992" s="4"/>
      <c r="D992" s="4"/>
    </row>
    <row r="993" spans="2:4" ht="14.25" customHeight="1" x14ac:dyDescent="0.35">
      <c r="B993" s="4"/>
      <c r="C993" s="4"/>
      <c r="D993" s="4"/>
    </row>
    <row r="994" spans="2:4" ht="14.25" customHeight="1" x14ac:dyDescent="0.35">
      <c r="B994" s="4"/>
      <c r="C994" s="4"/>
      <c r="D994" s="4"/>
    </row>
    <row r="995" spans="2:4" ht="14.25" customHeight="1" x14ac:dyDescent="0.35">
      <c r="B995" s="4"/>
      <c r="C995" s="4"/>
      <c r="D995" s="4"/>
    </row>
    <row r="996" spans="2:4" ht="14.25" customHeight="1" x14ac:dyDescent="0.35">
      <c r="B996" s="4"/>
      <c r="C996" s="4"/>
      <c r="D996" s="4"/>
    </row>
    <row r="997" spans="2:4" ht="14.25" customHeight="1" x14ac:dyDescent="0.35">
      <c r="B997" s="4"/>
      <c r="C997" s="4"/>
      <c r="D997" s="4"/>
    </row>
    <row r="998" spans="2:4" ht="14.25" customHeight="1" x14ac:dyDescent="0.35">
      <c r="B998" s="4"/>
      <c r="C998" s="4"/>
      <c r="D998" s="4"/>
    </row>
    <row r="999" spans="2:4" ht="14.25" customHeight="1" x14ac:dyDescent="0.35">
      <c r="B999" s="4"/>
      <c r="C999" s="4"/>
      <c r="D999" s="4"/>
    </row>
    <row r="1000" spans="2:4" ht="14.25" customHeight="1" x14ac:dyDescent="0.35">
      <c r="B1000" s="4"/>
      <c r="C1000" s="4"/>
      <c r="D1000" s="4"/>
    </row>
  </sheetData>
  <autoFilter ref="A1:D56" xr:uid="{00000000-0009-0000-0000-000020000000}"/>
  <pageMargins left="0.7" right="0.7" top="0.75" bottom="0.75" header="0" footer="0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4"/>
  <dimension ref="A1:G1000"/>
  <sheetViews>
    <sheetView workbookViewId="0">
      <selection activeCell="A63" sqref="A63"/>
    </sheetView>
  </sheetViews>
  <sheetFormatPr baseColWidth="10" defaultColWidth="14.453125" defaultRowHeight="15" customHeight="1" x14ac:dyDescent="0.35"/>
  <cols>
    <col min="1" max="1" width="48.453125" customWidth="1"/>
    <col min="2" max="2" width="5.90625" customWidth="1"/>
    <col min="3" max="3" width="4.453125" customWidth="1"/>
    <col min="4" max="4" width="7.90625" customWidth="1"/>
    <col min="5" max="5" width="11.90625" customWidth="1"/>
    <col min="6" max="7" width="20.54296875" customWidth="1"/>
    <col min="8" max="26" width="10.90625" customWidth="1"/>
  </cols>
  <sheetData>
    <row r="1" spans="1:5" ht="14.25" customHeight="1" x14ac:dyDescent="0.35">
      <c r="A1" s="1" t="s">
        <v>284</v>
      </c>
      <c r="B1" s="1" t="s">
        <v>285</v>
      </c>
      <c r="C1" s="1" t="s">
        <v>286</v>
      </c>
      <c r="D1" s="1" t="s">
        <v>287</v>
      </c>
      <c r="E1" s="1" t="s">
        <v>288</v>
      </c>
    </row>
    <row r="2" spans="1:5" ht="14.25" customHeight="1" x14ac:dyDescent="0.35">
      <c r="A2" s="6" t="s">
        <v>289</v>
      </c>
      <c r="B2" s="1">
        <v>1</v>
      </c>
      <c r="C2" s="6">
        <v>5</v>
      </c>
      <c r="D2" s="1" t="s">
        <v>290</v>
      </c>
      <c r="E2" s="1" t="s">
        <v>291</v>
      </c>
    </row>
    <row r="3" spans="1:5" ht="14.25" customHeight="1" x14ac:dyDescent="0.35">
      <c r="A3" s="6" t="s">
        <v>292</v>
      </c>
      <c r="B3" s="1">
        <v>1</v>
      </c>
      <c r="C3" s="6">
        <v>4</v>
      </c>
      <c r="D3" s="1" t="s">
        <v>290</v>
      </c>
      <c r="E3" s="1" t="s">
        <v>293</v>
      </c>
    </row>
    <row r="4" spans="1:5" ht="14.25" customHeight="1" x14ac:dyDescent="0.35">
      <c r="A4" s="6" t="s">
        <v>294</v>
      </c>
      <c r="B4" s="1">
        <v>1</v>
      </c>
      <c r="C4" s="6">
        <v>7</v>
      </c>
      <c r="D4" s="1" t="s">
        <v>290</v>
      </c>
      <c r="E4" s="1" t="s">
        <v>295</v>
      </c>
    </row>
    <row r="5" spans="1:5" ht="14.25" customHeight="1" x14ac:dyDescent="0.35">
      <c r="A5" s="6" t="s">
        <v>296</v>
      </c>
      <c r="B5" s="1">
        <v>1</v>
      </c>
      <c r="C5" s="6">
        <v>6</v>
      </c>
      <c r="D5" s="1" t="s">
        <v>290</v>
      </c>
      <c r="E5" s="1" t="s">
        <v>297</v>
      </c>
    </row>
    <row r="6" spans="1:5" ht="14.25" customHeight="1" x14ac:dyDescent="0.35">
      <c r="A6" s="6" t="s">
        <v>298</v>
      </c>
      <c r="B6" s="1">
        <v>1</v>
      </c>
      <c r="C6" s="6">
        <v>4</v>
      </c>
      <c r="D6" s="1" t="s">
        <v>290</v>
      </c>
      <c r="E6" s="1" t="s">
        <v>299</v>
      </c>
    </row>
    <row r="7" spans="1:5" ht="14.25" customHeight="1" x14ac:dyDescent="0.35">
      <c r="A7" s="6" t="s">
        <v>300</v>
      </c>
      <c r="B7" s="1">
        <v>1</v>
      </c>
      <c r="C7" s="6">
        <v>4</v>
      </c>
      <c r="D7" s="1" t="s">
        <v>290</v>
      </c>
      <c r="E7" s="1" t="s">
        <v>301</v>
      </c>
    </row>
    <row r="8" spans="1:5" ht="14.25" customHeight="1" x14ac:dyDescent="0.35">
      <c r="A8" s="6" t="s">
        <v>302</v>
      </c>
      <c r="B8" s="1">
        <v>1</v>
      </c>
      <c r="C8" s="6">
        <v>5</v>
      </c>
      <c r="D8" s="1" t="s">
        <v>290</v>
      </c>
      <c r="E8" s="1" t="s">
        <v>303</v>
      </c>
    </row>
    <row r="9" spans="1:5" ht="14.25" customHeight="1" x14ac:dyDescent="0.35">
      <c r="A9" s="6" t="s">
        <v>304</v>
      </c>
      <c r="B9" s="1">
        <v>1</v>
      </c>
      <c r="C9" s="6">
        <v>1</v>
      </c>
      <c r="D9" s="1" t="s">
        <v>290</v>
      </c>
    </row>
    <row r="10" spans="1:5" ht="14.25" customHeight="1" x14ac:dyDescent="0.35">
      <c r="A10" s="6" t="s">
        <v>305</v>
      </c>
      <c r="B10" s="1">
        <v>1</v>
      </c>
      <c r="C10" s="6">
        <v>2</v>
      </c>
      <c r="D10" s="1" t="s">
        <v>290</v>
      </c>
    </row>
    <row r="11" spans="1:5" ht="14.25" customHeight="1" x14ac:dyDescent="0.35">
      <c r="A11" s="1" t="s">
        <v>45</v>
      </c>
      <c r="B11" s="1">
        <v>2</v>
      </c>
      <c r="C11" s="1">
        <v>5</v>
      </c>
      <c r="D11" s="1" t="s">
        <v>290</v>
      </c>
      <c r="E11" s="1" t="s">
        <v>306</v>
      </c>
    </row>
    <row r="12" spans="1:5" ht="14.25" customHeight="1" x14ac:dyDescent="0.35">
      <c r="A12" s="1" t="s">
        <v>17</v>
      </c>
      <c r="B12" s="1">
        <v>2</v>
      </c>
      <c r="C12" s="1">
        <v>4</v>
      </c>
      <c r="D12" s="1" t="s">
        <v>290</v>
      </c>
      <c r="E12" s="1" t="s">
        <v>307</v>
      </c>
    </row>
    <row r="13" spans="1:5" ht="14.25" customHeight="1" x14ac:dyDescent="0.35">
      <c r="A13" s="1" t="s">
        <v>23</v>
      </c>
      <c r="B13" s="1">
        <v>2</v>
      </c>
      <c r="C13" s="1">
        <v>6</v>
      </c>
      <c r="D13" s="1" t="s">
        <v>290</v>
      </c>
      <c r="E13" s="1" t="s">
        <v>308</v>
      </c>
    </row>
    <row r="14" spans="1:5" ht="14.25" customHeight="1" x14ac:dyDescent="0.35">
      <c r="A14" s="1" t="s">
        <v>18</v>
      </c>
      <c r="B14" s="1">
        <v>2</v>
      </c>
      <c r="C14" s="1">
        <v>6</v>
      </c>
      <c r="D14" s="1" t="s">
        <v>290</v>
      </c>
      <c r="E14" s="1" t="s">
        <v>309</v>
      </c>
    </row>
    <row r="15" spans="1:5" ht="14.25" customHeight="1" x14ac:dyDescent="0.35">
      <c r="A15" s="1" t="s">
        <v>30</v>
      </c>
      <c r="B15" s="1">
        <v>2</v>
      </c>
      <c r="C15" s="1">
        <v>5</v>
      </c>
      <c r="D15" s="1" t="s">
        <v>290</v>
      </c>
      <c r="E15" s="1" t="s">
        <v>310</v>
      </c>
    </row>
    <row r="16" spans="1:5" ht="14.25" customHeight="1" x14ac:dyDescent="0.35">
      <c r="A16" s="1" t="s">
        <v>27</v>
      </c>
      <c r="B16" s="1">
        <v>2</v>
      </c>
      <c r="C16" s="1">
        <v>5</v>
      </c>
      <c r="D16" s="1" t="s">
        <v>290</v>
      </c>
      <c r="E16" s="1" t="s">
        <v>311</v>
      </c>
    </row>
    <row r="17" spans="1:7" ht="14.25" customHeight="1" x14ac:dyDescent="0.35">
      <c r="A17" s="1" t="s">
        <v>28</v>
      </c>
      <c r="B17" s="1">
        <v>2</v>
      </c>
      <c r="C17" s="1">
        <v>4</v>
      </c>
      <c r="D17" s="1" t="s">
        <v>290</v>
      </c>
      <c r="E17" s="1" t="s">
        <v>312</v>
      </c>
    </row>
    <row r="18" spans="1:7" ht="14.25" customHeight="1" x14ac:dyDescent="0.35">
      <c r="A18" s="6" t="s">
        <v>22</v>
      </c>
      <c r="B18" s="1">
        <v>2</v>
      </c>
      <c r="C18" s="1">
        <v>1</v>
      </c>
      <c r="D18" s="1" t="s">
        <v>290</v>
      </c>
    </row>
    <row r="19" spans="1:7" ht="14.25" customHeight="1" x14ac:dyDescent="0.35">
      <c r="A19" s="6" t="s">
        <v>53</v>
      </c>
      <c r="B19" s="1">
        <v>2</v>
      </c>
      <c r="C19" s="1">
        <v>2</v>
      </c>
      <c r="D19" s="1" t="s">
        <v>290</v>
      </c>
    </row>
    <row r="20" spans="1:7" ht="14.25" customHeight="1" x14ac:dyDescent="0.35">
      <c r="A20" s="1" t="s">
        <v>289</v>
      </c>
      <c r="B20" s="1">
        <v>1</v>
      </c>
      <c r="C20" s="1">
        <v>5</v>
      </c>
      <c r="D20" s="1" t="s">
        <v>290</v>
      </c>
      <c r="E20" s="1" t="s">
        <v>313</v>
      </c>
      <c r="F20" s="5"/>
      <c r="G20" s="5"/>
    </row>
    <row r="21" spans="1:7" ht="14.25" customHeight="1" x14ac:dyDescent="0.35">
      <c r="A21" s="1" t="s">
        <v>292</v>
      </c>
      <c r="B21" s="1">
        <v>1</v>
      </c>
      <c r="C21" s="1">
        <v>4</v>
      </c>
      <c r="D21" s="1" t="s">
        <v>290</v>
      </c>
      <c r="E21" s="1" t="s">
        <v>314</v>
      </c>
      <c r="F21" s="5"/>
      <c r="G21" s="5"/>
    </row>
    <row r="22" spans="1:7" ht="14.25" customHeight="1" x14ac:dyDescent="0.35">
      <c r="A22" s="1" t="s">
        <v>294</v>
      </c>
      <c r="B22" s="1">
        <v>1</v>
      </c>
      <c r="C22" s="1">
        <v>7</v>
      </c>
      <c r="D22" s="1" t="s">
        <v>290</v>
      </c>
      <c r="E22" s="1" t="s">
        <v>315</v>
      </c>
      <c r="F22" s="5"/>
      <c r="G22" s="5"/>
    </row>
    <row r="23" spans="1:7" ht="14.25" customHeight="1" x14ac:dyDescent="0.35">
      <c r="A23" s="1" t="s">
        <v>316</v>
      </c>
      <c r="B23" s="1">
        <v>1</v>
      </c>
      <c r="C23" s="1">
        <v>7</v>
      </c>
      <c r="D23" s="1" t="s">
        <v>290</v>
      </c>
      <c r="E23" s="1" t="s">
        <v>317</v>
      </c>
      <c r="F23" s="5"/>
      <c r="G23" s="5"/>
    </row>
    <row r="24" spans="1:7" ht="14.25" customHeight="1" x14ac:dyDescent="0.35">
      <c r="A24" s="1" t="s">
        <v>318</v>
      </c>
      <c r="B24" s="1">
        <v>1</v>
      </c>
      <c r="C24" s="1">
        <v>4</v>
      </c>
      <c r="D24" s="1" t="s">
        <v>290</v>
      </c>
      <c r="E24" s="1" t="s">
        <v>319</v>
      </c>
      <c r="F24" s="5"/>
      <c r="G24" s="5"/>
    </row>
    <row r="25" spans="1:7" ht="14.25" customHeight="1" x14ac:dyDescent="0.35">
      <c r="A25" s="1" t="s">
        <v>320</v>
      </c>
      <c r="B25" s="1">
        <v>1</v>
      </c>
      <c r="C25" s="1">
        <v>3</v>
      </c>
      <c r="D25" s="1" t="s">
        <v>290</v>
      </c>
      <c r="E25" s="1" t="s">
        <v>321</v>
      </c>
    </row>
    <row r="26" spans="1:7" ht="14.25" customHeight="1" x14ac:dyDescent="0.35">
      <c r="A26" s="1" t="s">
        <v>302</v>
      </c>
      <c r="B26" s="1">
        <v>1</v>
      </c>
      <c r="C26" s="1">
        <v>5</v>
      </c>
      <c r="D26" s="1" t="s">
        <v>290</v>
      </c>
      <c r="E26" s="12" t="s">
        <v>322</v>
      </c>
    </row>
    <row r="27" spans="1:7" ht="14.25" customHeight="1" x14ac:dyDescent="0.35">
      <c r="A27" s="6" t="s">
        <v>304</v>
      </c>
      <c r="B27" s="1">
        <v>1</v>
      </c>
      <c r="C27" s="6">
        <v>1</v>
      </c>
      <c r="D27" s="1" t="s">
        <v>290</v>
      </c>
    </row>
    <row r="28" spans="1:7" ht="14.25" customHeight="1" x14ac:dyDescent="0.35">
      <c r="A28" s="6" t="s">
        <v>305</v>
      </c>
      <c r="B28" s="1">
        <v>1</v>
      </c>
      <c r="C28" s="6">
        <v>2</v>
      </c>
      <c r="D28" s="1" t="s">
        <v>290</v>
      </c>
    </row>
    <row r="29" spans="1:7" ht="14.25" customHeight="1" x14ac:dyDescent="0.35">
      <c r="A29" s="1" t="s">
        <v>45</v>
      </c>
      <c r="B29" s="1">
        <v>2</v>
      </c>
      <c r="C29" s="1">
        <v>5</v>
      </c>
      <c r="D29" s="1" t="s">
        <v>290</v>
      </c>
      <c r="E29" s="1" t="s">
        <v>323</v>
      </c>
    </row>
    <row r="30" spans="1:7" ht="14.25" customHeight="1" x14ac:dyDescent="0.35">
      <c r="A30" s="1" t="s">
        <v>17</v>
      </c>
      <c r="B30" s="1">
        <v>2</v>
      </c>
      <c r="C30" s="1">
        <v>4</v>
      </c>
      <c r="D30" s="1" t="s">
        <v>290</v>
      </c>
      <c r="E30" s="1" t="s">
        <v>324</v>
      </c>
    </row>
    <row r="31" spans="1:7" ht="14.25" customHeight="1" x14ac:dyDescent="0.35">
      <c r="A31" s="1" t="s">
        <v>136</v>
      </c>
      <c r="B31" s="1">
        <v>2</v>
      </c>
      <c r="C31" s="1">
        <v>5</v>
      </c>
      <c r="D31" s="1" t="s">
        <v>290</v>
      </c>
      <c r="E31" s="1" t="s">
        <v>325</v>
      </c>
    </row>
    <row r="32" spans="1:7" ht="14.25" customHeight="1" x14ac:dyDescent="0.35">
      <c r="A32" s="1" t="s">
        <v>138</v>
      </c>
      <c r="B32" s="1">
        <v>2</v>
      </c>
      <c r="C32" s="1">
        <v>6</v>
      </c>
      <c r="D32" s="1" t="s">
        <v>290</v>
      </c>
      <c r="E32" s="1" t="s">
        <v>326</v>
      </c>
    </row>
    <row r="33" spans="1:5" ht="14.25" customHeight="1" x14ac:dyDescent="0.35">
      <c r="A33" s="1" t="s">
        <v>139</v>
      </c>
      <c r="B33" s="1">
        <v>2</v>
      </c>
      <c r="C33" s="1">
        <v>5</v>
      </c>
      <c r="D33" s="1" t="s">
        <v>290</v>
      </c>
      <c r="E33" s="1" t="s">
        <v>327</v>
      </c>
    </row>
    <row r="34" spans="1:5" ht="14.25" customHeight="1" x14ac:dyDescent="0.35">
      <c r="A34" s="1" t="s">
        <v>137</v>
      </c>
      <c r="B34" s="1">
        <v>2</v>
      </c>
      <c r="C34" s="1">
        <v>7</v>
      </c>
      <c r="D34" s="1" t="s">
        <v>290</v>
      </c>
      <c r="E34" s="1" t="s">
        <v>328</v>
      </c>
    </row>
    <row r="35" spans="1:5" ht="14.25" customHeight="1" x14ac:dyDescent="0.35">
      <c r="A35" s="1" t="s">
        <v>140</v>
      </c>
      <c r="B35" s="1">
        <v>2</v>
      </c>
      <c r="C35" s="1">
        <v>3</v>
      </c>
      <c r="D35" s="1" t="s">
        <v>290</v>
      </c>
      <c r="E35" s="1" t="s">
        <v>329</v>
      </c>
    </row>
    <row r="36" spans="1:5" ht="14.25" customHeight="1" x14ac:dyDescent="0.35">
      <c r="A36" s="6" t="s">
        <v>22</v>
      </c>
      <c r="B36" s="1">
        <v>2</v>
      </c>
      <c r="C36" s="6">
        <v>1</v>
      </c>
      <c r="D36" s="1" t="s">
        <v>290</v>
      </c>
    </row>
    <row r="37" spans="1:5" ht="14.25" customHeight="1" x14ac:dyDescent="0.35">
      <c r="A37" s="6" t="s">
        <v>53</v>
      </c>
      <c r="B37" s="1">
        <v>2</v>
      </c>
      <c r="C37" s="6">
        <v>2</v>
      </c>
      <c r="D37" s="1" t="s">
        <v>290</v>
      </c>
    </row>
    <row r="38" spans="1:5" ht="14.25" customHeight="1" x14ac:dyDescent="0.35">
      <c r="A38" s="1" t="s">
        <v>176</v>
      </c>
      <c r="B38" s="1">
        <v>3</v>
      </c>
      <c r="C38" s="1">
        <v>3</v>
      </c>
      <c r="D38" s="1" t="s">
        <v>330</v>
      </c>
      <c r="E38" s="1" t="s">
        <v>331</v>
      </c>
    </row>
    <row r="39" spans="1:5" ht="14.25" customHeight="1" x14ac:dyDescent="0.35">
      <c r="A39" s="1" t="s">
        <v>179</v>
      </c>
      <c r="B39" s="1">
        <v>3</v>
      </c>
      <c r="C39" s="1">
        <v>3</v>
      </c>
      <c r="D39" s="1" t="s">
        <v>330</v>
      </c>
      <c r="E39" s="1" t="s">
        <v>332</v>
      </c>
    </row>
    <row r="40" spans="1:5" ht="14.25" customHeight="1" x14ac:dyDescent="0.35">
      <c r="A40" s="1" t="s">
        <v>175</v>
      </c>
      <c r="B40" s="1">
        <v>3</v>
      </c>
      <c r="C40" s="1">
        <v>5</v>
      </c>
      <c r="D40" s="1" t="s">
        <v>330</v>
      </c>
      <c r="E40" s="1" t="s">
        <v>333</v>
      </c>
    </row>
    <row r="41" spans="1:5" ht="14.25" customHeight="1" x14ac:dyDescent="0.35">
      <c r="A41" s="1" t="s">
        <v>178</v>
      </c>
      <c r="B41" s="1">
        <v>3</v>
      </c>
      <c r="C41" s="1">
        <v>7</v>
      </c>
      <c r="D41" s="1" t="s">
        <v>330</v>
      </c>
      <c r="E41" s="1" t="s">
        <v>334</v>
      </c>
    </row>
    <row r="42" spans="1:5" ht="14.25" customHeight="1" x14ac:dyDescent="0.35">
      <c r="A42" s="1" t="s">
        <v>174</v>
      </c>
      <c r="B42" s="1">
        <v>3</v>
      </c>
      <c r="C42" s="1">
        <v>4</v>
      </c>
      <c r="D42" s="1" t="s">
        <v>330</v>
      </c>
      <c r="E42" s="1" t="s">
        <v>335</v>
      </c>
    </row>
    <row r="43" spans="1:5" ht="14.25" customHeight="1" x14ac:dyDescent="0.35">
      <c r="A43" s="1" t="s">
        <v>172</v>
      </c>
      <c r="B43" s="1">
        <v>3</v>
      </c>
      <c r="C43" s="1">
        <v>6</v>
      </c>
      <c r="D43" s="1" t="s">
        <v>330</v>
      </c>
      <c r="E43" s="1" t="s">
        <v>336</v>
      </c>
    </row>
    <row r="44" spans="1:5" ht="14.25" customHeight="1" x14ac:dyDescent="0.35">
      <c r="A44" s="1" t="s">
        <v>177</v>
      </c>
      <c r="B44" s="1">
        <v>3</v>
      </c>
      <c r="C44" s="1">
        <v>4</v>
      </c>
      <c r="D44" s="1" t="s">
        <v>330</v>
      </c>
      <c r="E44" s="1" t="s">
        <v>337</v>
      </c>
    </row>
    <row r="45" spans="1:5" ht="14.25" customHeight="1" x14ac:dyDescent="0.35">
      <c r="A45" s="1" t="s">
        <v>173</v>
      </c>
      <c r="B45" s="1">
        <v>3</v>
      </c>
      <c r="C45" s="1">
        <v>2</v>
      </c>
      <c r="D45" s="1" t="s">
        <v>330</v>
      </c>
      <c r="E45" s="1" t="s">
        <v>338</v>
      </c>
    </row>
    <row r="46" spans="1:5" ht="14.25" customHeight="1" x14ac:dyDescent="0.35">
      <c r="A46" s="1" t="s">
        <v>188</v>
      </c>
      <c r="B46" s="1">
        <v>4</v>
      </c>
      <c r="C46" s="1">
        <v>4</v>
      </c>
      <c r="D46" s="1" t="s">
        <v>330</v>
      </c>
      <c r="E46" s="1" t="s">
        <v>339</v>
      </c>
    </row>
    <row r="47" spans="1:5" ht="14.25" customHeight="1" x14ac:dyDescent="0.35">
      <c r="A47" s="1" t="s">
        <v>187</v>
      </c>
      <c r="B47" s="1">
        <v>4</v>
      </c>
      <c r="C47" s="1">
        <v>5</v>
      </c>
      <c r="D47" s="1" t="s">
        <v>330</v>
      </c>
      <c r="E47" s="1" t="s">
        <v>340</v>
      </c>
    </row>
    <row r="48" spans="1:5" ht="14.25" customHeight="1" x14ac:dyDescent="0.35">
      <c r="A48" s="1" t="s">
        <v>186</v>
      </c>
      <c r="B48" s="1">
        <v>4</v>
      </c>
      <c r="C48" s="1">
        <v>4</v>
      </c>
      <c r="D48" s="1" t="s">
        <v>330</v>
      </c>
      <c r="E48" s="1" t="s">
        <v>341</v>
      </c>
    </row>
    <row r="49" spans="1:5" ht="14.25" customHeight="1" x14ac:dyDescent="0.35">
      <c r="A49" s="1" t="s">
        <v>182</v>
      </c>
      <c r="B49" s="1">
        <v>4</v>
      </c>
      <c r="C49" s="1">
        <v>5</v>
      </c>
      <c r="D49" s="1" t="s">
        <v>330</v>
      </c>
      <c r="E49" s="1" t="s">
        <v>342</v>
      </c>
    </row>
    <row r="50" spans="1:5" ht="14.25" customHeight="1" x14ac:dyDescent="0.35">
      <c r="A50" s="1" t="s">
        <v>189</v>
      </c>
      <c r="B50" s="1">
        <v>4</v>
      </c>
      <c r="C50" s="1">
        <v>2</v>
      </c>
      <c r="D50" s="1" t="s">
        <v>330</v>
      </c>
      <c r="E50" s="1" t="s">
        <v>343</v>
      </c>
    </row>
    <row r="51" spans="1:5" ht="14.25" customHeight="1" x14ac:dyDescent="0.35">
      <c r="A51" s="1" t="s">
        <v>183</v>
      </c>
      <c r="B51" s="1">
        <v>4</v>
      </c>
      <c r="C51" s="1">
        <v>4</v>
      </c>
      <c r="D51" s="1" t="s">
        <v>330</v>
      </c>
      <c r="E51" s="1" t="s">
        <v>344</v>
      </c>
    </row>
    <row r="52" spans="1:5" ht="14.25" customHeight="1" x14ac:dyDescent="0.35">
      <c r="A52" s="1" t="s">
        <v>184</v>
      </c>
      <c r="B52" s="1">
        <v>4</v>
      </c>
      <c r="C52" s="1">
        <v>5</v>
      </c>
      <c r="D52" s="1" t="s">
        <v>330</v>
      </c>
      <c r="E52" s="1" t="s">
        <v>345</v>
      </c>
    </row>
    <row r="53" spans="1:5" ht="14.25" customHeight="1" x14ac:dyDescent="0.35">
      <c r="A53" s="1" t="s">
        <v>185</v>
      </c>
      <c r="B53" s="1">
        <v>4</v>
      </c>
      <c r="C53" s="1">
        <v>4</v>
      </c>
      <c r="D53" s="1" t="s">
        <v>330</v>
      </c>
      <c r="E53" s="1" t="s">
        <v>346</v>
      </c>
    </row>
    <row r="54" spans="1:5" ht="14.25" customHeight="1" x14ac:dyDescent="0.35">
      <c r="A54" s="1" t="s">
        <v>191</v>
      </c>
      <c r="B54" s="1">
        <v>4</v>
      </c>
      <c r="C54" s="1">
        <v>3</v>
      </c>
      <c r="D54" s="1" t="s">
        <v>330</v>
      </c>
      <c r="E54" s="1" t="s">
        <v>347</v>
      </c>
    </row>
    <row r="55" spans="1:5" ht="14.25" customHeight="1" x14ac:dyDescent="0.35">
      <c r="A55" s="1" t="s">
        <v>193</v>
      </c>
      <c r="B55" s="1">
        <v>5</v>
      </c>
      <c r="C55" s="1">
        <v>8</v>
      </c>
      <c r="D55" s="1" t="s">
        <v>330</v>
      </c>
      <c r="E55" s="1" t="s">
        <v>348</v>
      </c>
    </row>
    <row r="56" spans="1:5" ht="14.25" customHeight="1" x14ac:dyDescent="0.35">
      <c r="A56" s="1" t="s">
        <v>194</v>
      </c>
      <c r="B56" s="1">
        <v>5</v>
      </c>
      <c r="C56" s="1">
        <v>7</v>
      </c>
      <c r="D56" s="1" t="s">
        <v>330</v>
      </c>
      <c r="E56" s="1" t="s">
        <v>349</v>
      </c>
    </row>
    <row r="57" spans="1:5" ht="14.25" customHeight="1" x14ac:dyDescent="0.35">
      <c r="A57" s="1" t="s">
        <v>195</v>
      </c>
      <c r="B57" s="1">
        <v>5</v>
      </c>
      <c r="C57" s="1">
        <v>8</v>
      </c>
      <c r="D57" s="1" t="s">
        <v>330</v>
      </c>
      <c r="E57" s="1" t="s">
        <v>350</v>
      </c>
    </row>
    <row r="58" spans="1:5" ht="14.25" customHeight="1" x14ac:dyDescent="0.35">
      <c r="A58" s="1" t="s">
        <v>76</v>
      </c>
      <c r="B58" s="1">
        <v>5</v>
      </c>
      <c r="C58" s="1">
        <v>2</v>
      </c>
      <c r="D58" s="1" t="s">
        <v>330</v>
      </c>
      <c r="E58" s="1" t="s">
        <v>351</v>
      </c>
    </row>
    <row r="59" spans="1:5" ht="14.25" customHeight="1" x14ac:dyDescent="0.35">
      <c r="A59" s="1" t="s">
        <v>78</v>
      </c>
      <c r="B59" s="1">
        <v>5</v>
      </c>
      <c r="C59" s="1">
        <v>4</v>
      </c>
      <c r="D59" s="1" t="s">
        <v>330</v>
      </c>
      <c r="E59" s="1" t="s">
        <v>352</v>
      </c>
    </row>
    <row r="60" spans="1:5" ht="14.25" customHeight="1" x14ac:dyDescent="0.35">
      <c r="A60" s="1" t="s">
        <v>79</v>
      </c>
      <c r="B60" s="1">
        <v>5</v>
      </c>
      <c r="C60" s="1">
        <v>5</v>
      </c>
      <c r="D60" s="1" t="s">
        <v>330</v>
      </c>
      <c r="E60" s="1" t="s">
        <v>353</v>
      </c>
    </row>
    <row r="61" spans="1:5" ht="14.25" customHeight="1" x14ac:dyDescent="0.35">
      <c r="A61" s="1" t="s">
        <v>208</v>
      </c>
      <c r="B61" s="1">
        <v>7</v>
      </c>
      <c r="C61" s="1">
        <v>3</v>
      </c>
      <c r="D61" s="1" t="s">
        <v>330</v>
      </c>
      <c r="E61" s="1" t="s">
        <v>354</v>
      </c>
    </row>
    <row r="62" spans="1:5" ht="14.25" customHeight="1" x14ac:dyDescent="0.35">
      <c r="A62" s="1" t="s">
        <v>209</v>
      </c>
      <c r="B62" s="1">
        <v>7</v>
      </c>
      <c r="C62" s="1">
        <v>4</v>
      </c>
      <c r="D62" s="1" t="s">
        <v>330</v>
      </c>
      <c r="E62" s="1" t="s">
        <v>355</v>
      </c>
    </row>
    <row r="63" spans="1:5" ht="14.25" customHeight="1" x14ac:dyDescent="0.35">
      <c r="A63" s="1" t="s">
        <v>205</v>
      </c>
      <c r="B63" s="1">
        <v>7</v>
      </c>
      <c r="C63" s="1">
        <v>3</v>
      </c>
      <c r="D63" s="1" t="s">
        <v>330</v>
      </c>
      <c r="E63" s="1" t="s">
        <v>356</v>
      </c>
    </row>
    <row r="64" spans="1:5" ht="14.25" customHeight="1" x14ac:dyDescent="0.35">
      <c r="A64" s="7" t="s">
        <v>207</v>
      </c>
      <c r="B64" s="1">
        <v>7</v>
      </c>
      <c r="C64" s="1">
        <v>4</v>
      </c>
      <c r="D64" s="1" t="s">
        <v>330</v>
      </c>
      <c r="E64" s="1" t="s">
        <v>357</v>
      </c>
    </row>
    <row r="65" spans="1:5" ht="14.25" customHeight="1" x14ac:dyDescent="0.35">
      <c r="A65" s="7" t="s">
        <v>206</v>
      </c>
      <c r="B65" s="1">
        <v>7</v>
      </c>
      <c r="C65" s="1">
        <v>4</v>
      </c>
      <c r="D65" s="1" t="s">
        <v>330</v>
      </c>
      <c r="E65" s="1" t="s">
        <v>358</v>
      </c>
    </row>
    <row r="66" spans="1:5" ht="14.25" customHeight="1" x14ac:dyDescent="0.35">
      <c r="A66" s="7" t="s">
        <v>90</v>
      </c>
      <c r="B66" s="1">
        <v>7</v>
      </c>
      <c r="C66" s="1">
        <v>4</v>
      </c>
      <c r="D66" s="1" t="s">
        <v>330</v>
      </c>
      <c r="E66" s="1" t="s">
        <v>359</v>
      </c>
    </row>
    <row r="67" spans="1:5" ht="14.25" customHeight="1" x14ac:dyDescent="0.35">
      <c r="A67" s="7" t="s">
        <v>210</v>
      </c>
      <c r="B67" s="1">
        <v>7</v>
      </c>
      <c r="C67" s="1">
        <v>3</v>
      </c>
      <c r="D67" s="1" t="s">
        <v>330</v>
      </c>
      <c r="E67" s="1" t="s">
        <v>360</v>
      </c>
    </row>
    <row r="68" spans="1:5" ht="14.25" customHeight="1" x14ac:dyDescent="0.35">
      <c r="A68" s="7" t="s">
        <v>217</v>
      </c>
      <c r="B68" s="1">
        <v>8</v>
      </c>
      <c r="C68" s="1">
        <v>6</v>
      </c>
      <c r="D68" s="1" t="s">
        <v>330</v>
      </c>
      <c r="E68" s="1" t="s">
        <v>361</v>
      </c>
    </row>
    <row r="69" spans="1:5" ht="14.25" customHeight="1" x14ac:dyDescent="0.35">
      <c r="A69" s="7" t="s">
        <v>216</v>
      </c>
      <c r="B69" s="1">
        <v>8</v>
      </c>
      <c r="C69" s="1">
        <v>4</v>
      </c>
      <c r="D69" s="1" t="s">
        <v>330</v>
      </c>
      <c r="E69" s="1" t="s">
        <v>362</v>
      </c>
    </row>
    <row r="70" spans="1:5" ht="14.25" customHeight="1" x14ac:dyDescent="0.35">
      <c r="A70" s="7" t="s">
        <v>214</v>
      </c>
      <c r="B70" s="1">
        <v>8</v>
      </c>
      <c r="C70" s="1">
        <v>7</v>
      </c>
      <c r="D70" s="1" t="s">
        <v>330</v>
      </c>
      <c r="E70" s="1" t="s">
        <v>363</v>
      </c>
    </row>
    <row r="71" spans="1:5" ht="14.25" customHeight="1" x14ac:dyDescent="0.35">
      <c r="A71" s="1" t="s">
        <v>106</v>
      </c>
      <c r="B71" s="1">
        <v>8</v>
      </c>
      <c r="C71" s="1">
        <v>4</v>
      </c>
      <c r="D71" s="1" t="s">
        <v>330</v>
      </c>
      <c r="E71" s="1" t="s">
        <v>364</v>
      </c>
    </row>
    <row r="72" spans="1:5" ht="14.25" customHeight="1" x14ac:dyDescent="0.35">
      <c r="A72" s="1" t="s">
        <v>215</v>
      </c>
      <c r="B72" s="1">
        <v>8</v>
      </c>
      <c r="C72" s="1">
        <v>3</v>
      </c>
      <c r="D72" s="1" t="s">
        <v>330</v>
      </c>
      <c r="E72" s="1" t="s">
        <v>365</v>
      </c>
    </row>
    <row r="73" spans="1:5" ht="14.25" customHeight="1" x14ac:dyDescent="0.35">
      <c r="A73" s="1" t="s">
        <v>235</v>
      </c>
      <c r="B73" s="1">
        <v>9</v>
      </c>
      <c r="C73" s="1">
        <v>6</v>
      </c>
      <c r="D73" s="1" t="s">
        <v>330</v>
      </c>
      <c r="E73" s="1" t="s">
        <v>366</v>
      </c>
    </row>
    <row r="74" spans="1:5" ht="14.25" customHeight="1" x14ac:dyDescent="0.35">
      <c r="A74" s="1" t="s">
        <v>234</v>
      </c>
      <c r="B74" s="1">
        <v>9</v>
      </c>
      <c r="C74" s="1">
        <v>4</v>
      </c>
      <c r="D74" s="1" t="s">
        <v>330</v>
      </c>
      <c r="E74" s="1" t="s">
        <v>367</v>
      </c>
    </row>
    <row r="75" spans="1:5" ht="14.25" customHeight="1" x14ac:dyDescent="0.35">
      <c r="A75" s="1" t="s">
        <v>237</v>
      </c>
      <c r="B75" s="1">
        <v>9</v>
      </c>
      <c r="C75" s="1">
        <v>3</v>
      </c>
      <c r="D75" s="1" t="s">
        <v>330</v>
      </c>
      <c r="E75" s="1" t="s">
        <v>368</v>
      </c>
    </row>
    <row r="76" spans="1:5" ht="14.25" customHeight="1" x14ac:dyDescent="0.35">
      <c r="A76" s="1" t="s">
        <v>233</v>
      </c>
      <c r="B76" s="1">
        <v>9</v>
      </c>
      <c r="C76" s="1">
        <v>6</v>
      </c>
      <c r="D76" s="1" t="s">
        <v>330</v>
      </c>
      <c r="E76" s="1" t="s">
        <v>369</v>
      </c>
    </row>
    <row r="77" spans="1:5" ht="14.25" customHeight="1" x14ac:dyDescent="0.35">
      <c r="A77" s="1" t="s">
        <v>236</v>
      </c>
      <c r="B77" s="1">
        <v>9</v>
      </c>
      <c r="C77" s="1">
        <v>4</v>
      </c>
      <c r="D77" s="1" t="s">
        <v>330</v>
      </c>
      <c r="E77" s="1" t="s">
        <v>370</v>
      </c>
    </row>
    <row r="78" spans="1:5" ht="14.25" customHeight="1" x14ac:dyDescent="0.35">
      <c r="A78" s="1" t="s">
        <v>238</v>
      </c>
      <c r="B78" s="1">
        <v>9</v>
      </c>
      <c r="C78" s="1">
        <v>2</v>
      </c>
      <c r="D78" s="1" t="s">
        <v>330</v>
      </c>
      <c r="E78" s="1" t="s">
        <v>371</v>
      </c>
    </row>
    <row r="79" spans="1:5" ht="14.25" customHeight="1" x14ac:dyDescent="0.35">
      <c r="A79" s="1" t="s">
        <v>240</v>
      </c>
      <c r="B79" s="1">
        <v>10</v>
      </c>
      <c r="C79" s="1">
        <v>4</v>
      </c>
      <c r="D79" s="1" t="s">
        <v>330</v>
      </c>
      <c r="E79" s="1" t="s">
        <v>372</v>
      </c>
    </row>
    <row r="80" spans="1:5" ht="14.25" customHeight="1" x14ac:dyDescent="0.35">
      <c r="A80" s="1" t="s">
        <v>241</v>
      </c>
      <c r="B80" s="1">
        <v>10</v>
      </c>
      <c r="C80" s="1">
        <v>7</v>
      </c>
      <c r="D80" s="1" t="s">
        <v>330</v>
      </c>
      <c r="E80" s="1" t="s">
        <v>373</v>
      </c>
    </row>
    <row r="81" spans="1:5" ht="14.25" customHeight="1" x14ac:dyDescent="0.35">
      <c r="A81" s="1" t="s">
        <v>243</v>
      </c>
      <c r="B81" s="1">
        <v>10</v>
      </c>
      <c r="C81" s="1">
        <v>7</v>
      </c>
      <c r="D81" s="1" t="s">
        <v>330</v>
      </c>
      <c r="E81" s="1" t="s">
        <v>374</v>
      </c>
    </row>
    <row r="82" spans="1:5" ht="14.25" customHeight="1" x14ac:dyDescent="0.35">
      <c r="A82" s="1" t="s">
        <v>189</v>
      </c>
      <c r="B82" s="1">
        <v>10</v>
      </c>
      <c r="C82" s="1">
        <v>2</v>
      </c>
      <c r="D82" s="1" t="s">
        <v>330</v>
      </c>
      <c r="E82" s="1" t="s">
        <v>375</v>
      </c>
    </row>
    <row r="83" spans="1:5" ht="14.25" customHeight="1" x14ac:dyDescent="0.35">
      <c r="A83" s="1" t="s">
        <v>242</v>
      </c>
      <c r="B83" s="1">
        <v>10</v>
      </c>
      <c r="C83" s="1">
        <v>4</v>
      </c>
      <c r="D83" s="1" t="s">
        <v>330</v>
      </c>
      <c r="E83" s="1" t="s">
        <v>376</v>
      </c>
    </row>
    <row r="84" spans="1:5" ht="14.25" customHeight="1" x14ac:dyDescent="0.35">
      <c r="A84" s="1" t="s">
        <v>244</v>
      </c>
      <c r="B84" s="1">
        <v>10</v>
      </c>
      <c r="C84" s="1">
        <v>2</v>
      </c>
      <c r="D84" s="1" t="s">
        <v>330</v>
      </c>
      <c r="E84" s="1" t="s">
        <v>377</v>
      </c>
    </row>
    <row r="85" spans="1:5" ht="14.25" customHeight="1" x14ac:dyDescent="0.35">
      <c r="A85" s="1" t="s">
        <v>289</v>
      </c>
      <c r="B85" s="1">
        <v>1</v>
      </c>
      <c r="C85" s="1">
        <v>5</v>
      </c>
      <c r="D85" s="1" t="s">
        <v>290</v>
      </c>
      <c r="E85" s="1" t="s">
        <v>378</v>
      </c>
    </row>
    <row r="86" spans="1:5" ht="14.25" customHeight="1" x14ac:dyDescent="0.35">
      <c r="A86" s="1" t="s">
        <v>292</v>
      </c>
      <c r="B86" s="1">
        <v>1</v>
      </c>
      <c r="C86" s="1">
        <v>4</v>
      </c>
      <c r="D86" s="1" t="s">
        <v>290</v>
      </c>
      <c r="E86" s="1" t="s">
        <v>379</v>
      </c>
    </row>
    <row r="87" spans="1:5" ht="14.25" customHeight="1" x14ac:dyDescent="0.35">
      <c r="A87" s="1" t="s">
        <v>294</v>
      </c>
      <c r="B87" s="1">
        <v>1</v>
      </c>
      <c r="C87" s="1">
        <v>7</v>
      </c>
      <c r="D87" s="1" t="s">
        <v>290</v>
      </c>
      <c r="E87" s="1" t="s">
        <v>380</v>
      </c>
    </row>
    <row r="88" spans="1:5" ht="14.25" customHeight="1" x14ac:dyDescent="0.35">
      <c r="A88" s="1" t="s">
        <v>381</v>
      </c>
      <c r="B88" s="1">
        <v>1</v>
      </c>
      <c r="C88" s="1">
        <v>4</v>
      </c>
      <c r="D88" s="1" t="s">
        <v>290</v>
      </c>
      <c r="E88" s="1" t="s">
        <v>382</v>
      </c>
    </row>
    <row r="89" spans="1:5" ht="14.25" customHeight="1" x14ac:dyDescent="0.35">
      <c r="A89" s="1" t="s">
        <v>296</v>
      </c>
      <c r="B89" s="1">
        <v>1</v>
      </c>
      <c r="C89" s="1">
        <v>6</v>
      </c>
      <c r="D89" s="1" t="s">
        <v>290</v>
      </c>
      <c r="E89" s="1" t="s">
        <v>383</v>
      </c>
    </row>
    <row r="90" spans="1:5" ht="14.25" customHeight="1" x14ac:dyDescent="0.35">
      <c r="A90" s="1" t="s">
        <v>384</v>
      </c>
      <c r="B90" s="1">
        <v>1</v>
      </c>
      <c r="C90" s="1">
        <v>4</v>
      </c>
      <c r="D90" s="1" t="s">
        <v>290</v>
      </c>
      <c r="E90" s="1" t="s">
        <v>385</v>
      </c>
    </row>
    <row r="91" spans="1:5" ht="14.25" customHeight="1" x14ac:dyDescent="0.35">
      <c r="A91" s="1" t="s">
        <v>302</v>
      </c>
      <c r="B91" s="1">
        <v>1</v>
      </c>
      <c r="C91" s="1">
        <v>5</v>
      </c>
      <c r="D91" s="1" t="s">
        <v>290</v>
      </c>
      <c r="E91" s="1" t="s">
        <v>386</v>
      </c>
    </row>
    <row r="92" spans="1:5" ht="14.25" customHeight="1" x14ac:dyDescent="0.35">
      <c r="A92" s="6" t="s">
        <v>22</v>
      </c>
      <c r="B92" s="1">
        <v>1</v>
      </c>
      <c r="C92" s="6">
        <v>1</v>
      </c>
      <c r="D92" s="1" t="s">
        <v>290</v>
      </c>
    </row>
    <row r="93" spans="1:5" ht="14.25" customHeight="1" x14ac:dyDescent="0.35">
      <c r="A93" s="6" t="s">
        <v>53</v>
      </c>
      <c r="B93" s="1">
        <v>1</v>
      </c>
      <c r="C93" s="6">
        <v>2</v>
      </c>
      <c r="D93" s="1" t="s">
        <v>290</v>
      </c>
    </row>
    <row r="94" spans="1:5" ht="14.25" customHeight="1" x14ac:dyDescent="0.35">
      <c r="A94" s="1" t="s">
        <v>45</v>
      </c>
      <c r="B94" s="1">
        <v>2</v>
      </c>
      <c r="C94" s="1">
        <v>5</v>
      </c>
      <c r="D94" s="1" t="s">
        <v>290</v>
      </c>
      <c r="E94" s="1" t="s">
        <v>387</v>
      </c>
    </row>
    <row r="95" spans="1:5" ht="14.25" customHeight="1" x14ac:dyDescent="0.35">
      <c r="A95" s="1" t="s">
        <v>17</v>
      </c>
      <c r="B95" s="1">
        <v>2</v>
      </c>
      <c r="C95" s="1">
        <v>4</v>
      </c>
      <c r="D95" s="1" t="s">
        <v>290</v>
      </c>
      <c r="E95" s="1" t="s">
        <v>388</v>
      </c>
    </row>
    <row r="96" spans="1:5" ht="14.25" customHeight="1" x14ac:dyDescent="0.35">
      <c r="A96" s="1" t="s">
        <v>23</v>
      </c>
      <c r="B96" s="1">
        <v>2</v>
      </c>
      <c r="C96" s="1">
        <v>6</v>
      </c>
      <c r="D96" s="1" t="s">
        <v>290</v>
      </c>
      <c r="E96" s="1" t="s">
        <v>389</v>
      </c>
    </row>
    <row r="97" spans="1:5" ht="14.25" customHeight="1" x14ac:dyDescent="0.35">
      <c r="A97" s="1" t="s">
        <v>61</v>
      </c>
      <c r="B97" s="1">
        <v>2</v>
      </c>
      <c r="C97" s="1">
        <v>5</v>
      </c>
      <c r="D97" s="1" t="s">
        <v>290</v>
      </c>
      <c r="E97" s="1" t="s">
        <v>390</v>
      </c>
    </row>
    <row r="98" spans="1:5" ht="14.25" customHeight="1" x14ac:dyDescent="0.35">
      <c r="A98" s="1" t="s">
        <v>30</v>
      </c>
      <c r="B98" s="1">
        <v>2</v>
      </c>
      <c r="C98" s="1">
        <v>5</v>
      </c>
      <c r="D98" s="1" t="s">
        <v>290</v>
      </c>
      <c r="E98" s="1" t="s">
        <v>391</v>
      </c>
    </row>
    <row r="99" spans="1:5" ht="14.25" customHeight="1" x14ac:dyDescent="0.35">
      <c r="A99" s="1" t="s">
        <v>63</v>
      </c>
      <c r="B99" s="1">
        <v>2</v>
      </c>
      <c r="C99" s="1">
        <v>5</v>
      </c>
      <c r="D99" s="1" t="s">
        <v>290</v>
      </c>
      <c r="E99" s="1" t="s">
        <v>392</v>
      </c>
    </row>
    <row r="100" spans="1:5" ht="14.25" customHeight="1" x14ac:dyDescent="0.35">
      <c r="A100" s="1" t="s">
        <v>62</v>
      </c>
      <c r="B100" s="1">
        <v>2</v>
      </c>
      <c r="C100" s="1">
        <v>5</v>
      </c>
      <c r="D100" s="1" t="s">
        <v>290</v>
      </c>
      <c r="E100" s="1" t="s">
        <v>393</v>
      </c>
    </row>
    <row r="101" spans="1:5" ht="14.25" customHeight="1" x14ac:dyDescent="0.35">
      <c r="A101" s="6" t="s">
        <v>22</v>
      </c>
      <c r="B101" s="1">
        <v>2</v>
      </c>
      <c r="C101" s="6">
        <v>1</v>
      </c>
      <c r="D101" s="1" t="s">
        <v>290</v>
      </c>
    </row>
    <row r="102" spans="1:5" ht="14.25" customHeight="1" x14ac:dyDescent="0.35">
      <c r="A102" s="6" t="s">
        <v>53</v>
      </c>
      <c r="B102" s="1">
        <v>2</v>
      </c>
      <c r="C102" s="6">
        <v>2</v>
      </c>
      <c r="D102" s="1" t="s">
        <v>290</v>
      </c>
    </row>
    <row r="103" spans="1:5" ht="14.25" customHeight="1" x14ac:dyDescent="0.35">
      <c r="A103" s="1" t="s">
        <v>394</v>
      </c>
      <c r="B103" s="1">
        <v>3</v>
      </c>
      <c r="C103" s="1">
        <v>4</v>
      </c>
      <c r="D103" s="1" t="s">
        <v>330</v>
      </c>
      <c r="E103" s="1" t="s">
        <v>395</v>
      </c>
    </row>
    <row r="104" spans="1:5" ht="14.25" customHeight="1" x14ac:dyDescent="0.35">
      <c r="A104" s="1" t="s">
        <v>396</v>
      </c>
      <c r="B104" s="1">
        <v>3</v>
      </c>
      <c r="C104" s="1">
        <v>6</v>
      </c>
      <c r="D104" s="1" t="s">
        <v>330</v>
      </c>
      <c r="E104" s="1" t="s">
        <v>397</v>
      </c>
    </row>
    <row r="105" spans="1:5" ht="14.25" customHeight="1" x14ac:dyDescent="0.35">
      <c r="A105" s="1" t="s">
        <v>398</v>
      </c>
      <c r="B105" s="1">
        <v>3</v>
      </c>
      <c r="C105" s="1">
        <v>6</v>
      </c>
      <c r="D105" s="1" t="s">
        <v>330</v>
      </c>
      <c r="E105" s="1" t="s">
        <v>399</v>
      </c>
    </row>
    <row r="106" spans="1:5" ht="14.25" customHeight="1" x14ac:dyDescent="0.35">
      <c r="A106" s="1" t="s">
        <v>400</v>
      </c>
      <c r="B106" s="1">
        <v>3</v>
      </c>
      <c r="C106" s="1">
        <v>5</v>
      </c>
      <c r="D106" s="1" t="s">
        <v>330</v>
      </c>
      <c r="E106" s="1" t="s">
        <v>401</v>
      </c>
    </row>
    <row r="107" spans="1:5" ht="14.25" customHeight="1" x14ac:dyDescent="0.35">
      <c r="A107" s="1" t="s">
        <v>402</v>
      </c>
      <c r="B107" s="1">
        <v>3</v>
      </c>
      <c r="C107" s="1">
        <v>6</v>
      </c>
      <c r="D107" s="1" t="s">
        <v>330</v>
      </c>
      <c r="E107" s="1" t="s">
        <v>403</v>
      </c>
    </row>
    <row r="108" spans="1:5" ht="14.25" customHeight="1" x14ac:dyDescent="0.35">
      <c r="A108" s="1" t="s">
        <v>189</v>
      </c>
      <c r="B108" s="1">
        <v>3</v>
      </c>
      <c r="C108" s="1">
        <v>2</v>
      </c>
      <c r="D108" s="1" t="s">
        <v>330</v>
      </c>
      <c r="E108" s="1" t="s">
        <v>404</v>
      </c>
    </row>
    <row r="109" spans="1:5" ht="14.25" customHeight="1" x14ac:dyDescent="0.35">
      <c r="A109" s="1" t="s">
        <v>177</v>
      </c>
      <c r="B109" s="1">
        <v>3</v>
      </c>
      <c r="C109" s="1">
        <v>4</v>
      </c>
      <c r="D109" s="1" t="s">
        <v>330</v>
      </c>
      <c r="E109" s="1" t="s">
        <v>405</v>
      </c>
    </row>
    <row r="110" spans="1:5" ht="14.25" customHeight="1" x14ac:dyDescent="0.35">
      <c r="A110" s="1" t="s">
        <v>173</v>
      </c>
      <c r="B110" s="1">
        <v>3</v>
      </c>
      <c r="C110" s="1">
        <v>2</v>
      </c>
      <c r="D110" s="1" t="s">
        <v>330</v>
      </c>
      <c r="E110" s="1" t="s">
        <v>406</v>
      </c>
    </row>
    <row r="111" spans="1:5" ht="14.25" customHeight="1" x14ac:dyDescent="0.35">
      <c r="A111" s="1" t="s">
        <v>407</v>
      </c>
      <c r="B111" s="1">
        <v>4</v>
      </c>
      <c r="C111" s="1">
        <v>5</v>
      </c>
      <c r="D111" s="1" t="s">
        <v>330</v>
      </c>
      <c r="E111" s="1" t="s">
        <v>408</v>
      </c>
    </row>
    <row r="112" spans="1:5" ht="14.25" customHeight="1" x14ac:dyDescent="0.35">
      <c r="A112" s="1" t="s">
        <v>409</v>
      </c>
      <c r="B112" s="1">
        <v>4</v>
      </c>
      <c r="C112" s="1">
        <v>6</v>
      </c>
      <c r="D112" s="1" t="s">
        <v>330</v>
      </c>
      <c r="E112" s="1" t="s">
        <v>410</v>
      </c>
    </row>
    <row r="113" spans="1:5" ht="14.25" customHeight="1" x14ac:dyDescent="0.35">
      <c r="A113" s="1" t="s">
        <v>411</v>
      </c>
      <c r="B113" s="1">
        <v>4</v>
      </c>
      <c r="C113" s="1">
        <v>6</v>
      </c>
      <c r="D113" s="1" t="s">
        <v>330</v>
      </c>
      <c r="E113" s="1" t="s">
        <v>412</v>
      </c>
    </row>
    <row r="114" spans="1:5" ht="14.25" customHeight="1" x14ac:dyDescent="0.35">
      <c r="A114" s="1" t="s">
        <v>413</v>
      </c>
      <c r="B114" s="1">
        <v>4</v>
      </c>
      <c r="C114" s="1">
        <v>6</v>
      </c>
      <c r="D114" s="1" t="s">
        <v>330</v>
      </c>
      <c r="E114" s="1" t="s">
        <v>414</v>
      </c>
    </row>
    <row r="115" spans="1:5" ht="14.25" customHeight="1" x14ac:dyDescent="0.35">
      <c r="A115" s="1" t="s">
        <v>415</v>
      </c>
      <c r="B115" s="1">
        <v>4</v>
      </c>
      <c r="C115" s="1">
        <v>5</v>
      </c>
      <c r="D115" s="1" t="s">
        <v>330</v>
      </c>
      <c r="E115" s="1" t="s">
        <v>416</v>
      </c>
    </row>
    <row r="116" spans="1:5" ht="14.25" customHeight="1" x14ac:dyDescent="0.35">
      <c r="A116" s="1" t="s">
        <v>185</v>
      </c>
      <c r="B116" s="1">
        <v>4</v>
      </c>
      <c r="C116" s="1">
        <v>4</v>
      </c>
      <c r="D116" s="1" t="s">
        <v>330</v>
      </c>
      <c r="E116" s="1" t="s">
        <v>417</v>
      </c>
    </row>
    <row r="117" spans="1:5" ht="14.25" customHeight="1" x14ac:dyDescent="0.35">
      <c r="A117" s="1" t="s">
        <v>191</v>
      </c>
      <c r="B117" s="1">
        <v>4</v>
      </c>
      <c r="C117" s="1">
        <v>3</v>
      </c>
      <c r="D117" s="1" t="s">
        <v>330</v>
      </c>
      <c r="E117" s="1" t="s">
        <v>418</v>
      </c>
    </row>
    <row r="118" spans="1:5" ht="14.25" customHeight="1" x14ac:dyDescent="0.35">
      <c r="A118" s="1" t="s">
        <v>73</v>
      </c>
      <c r="B118" s="1">
        <v>5</v>
      </c>
      <c r="C118" s="1">
        <v>6</v>
      </c>
      <c r="D118" s="1" t="s">
        <v>330</v>
      </c>
      <c r="E118" s="1" t="s">
        <v>419</v>
      </c>
    </row>
    <row r="119" spans="1:5" ht="14.25" customHeight="1" x14ac:dyDescent="0.35">
      <c r="A119" s="1" t="s">
        <v>74</v>
      </c>
      <c r="B119" s="1">
        <v>5</v>
      </c>
      <c r="C119" s="1">
        <v>6</v>
      </c>
      <c r="D119" s="1" t="s">
        <v>330</v>
      </c>
      <c r="E119" s="1" t="s">
        <v>420</v>
      </c>
    </row>
    <row r="120" spans="1:5" ht="14.25" customHeight="1" x14ac:dyDescent="0.35">
      <c r="A120" s="1" t="s">
        <v>77</v>
      </c>
      <c r="B120" s="1">
        <v>5</v>
      </c>
      <c r="C120" s="1">
        <v>6</v>
      </c>
      <c r="D120" s="1" t="s">
        <v>330</v>
      </c>
      <c r="E120" s="1" t="s">
        <v>421</v>
      </c>
    </row>
    <row r="121" spans="1:5" ht="14.25" customHeight="1" x14ac:dyDescent="0.35">
      <c r="A121" s="1" t="s">
        <v>75</v>
      </c>
      <c r="B121" s="1">
        <v>5</v>
      </c>
      <c r="C121" s="1">
        <v>6</v>
      </c>
      <c r="D121" s="1" t="s">
        <v>330</v>
      </c>
      <c r="E121" s="1" t="s">
        <v>422</v>
      </c>
    </row>
    <row r="122" spans="1:5" ht="14.25" customHeight="1" x14ac:dyDescent="0.35">
      <c r="A122" s="1" t="s">
        <v>76</v>
      </c>
      <c r="B122" s="1">
        <v>5</v>
      </c>
      <c r="C122" s="1">
        <v>2</v>
      </c>
      <c r="D122" s="1" t="s">
        <v>330</v>
      </c>
      <c r="E122" s="1" t="s">
        <v>423</v>
      </c>
    </row>
    <row r="123" spans="1:5" ht="14.25" customHeight="1" x14ac:dyDescent="0.35">
      <c r="A123" s="1" t="s">
        <v>78</v>
      </c>
      <c r="B123" s="1">
        <v>5</v>
      </c>
      <c r="C123" s="1">
        <v>4</v>
      </c>
      <c r="D123" s="1" t="s">
        <v>330</v>
      </c>
      <c r="E123" s="1" t="s">
        <v>424</v>
      </c>
    </row>
    <row r="124" spans="1:5" ht="14.25" customHeight="1" x14ac:dyDescent="0.35">
      <c r="A124" s="1" t="s">
        <v>79</v>
      </c>
      <c r="B124" s="1">
        <v>5</v>
      </c>
      <c r="C124" s="1">
        <v>5</v>
      </c>
      <c r="D124" s="1" t="s">
        <v>330</v>
      </c>
      <c r="E124" s="1" t="s">
        <v>425</v>
      </c>
    </row>
    <row r="125" spans="1:5" ht="14.25" customHeight="1" x14ac:dyDescent="0.35">
      <c r="A125" s="1" t="s">
        <v>98</v>
      </c>
      <c r="B125" s="1">
        <v>7</v>
      </c>
      <c r="C125" s="1">
        <v>4</v>
      </c>
      <c r="D125" s="1" t="s">
        <v>330</v>
      </c>
      <c r="E125" s="1" t="s">
        <v>426</v>
      </c>
    </row>
    <row r="126" spans="1:5" ht="14.25" customHeight="1" x14ac:dyDescent="0.35">
      <c r="A126" s="1" t="s">
        <v>85</v>
      </c>
      <c r="B126" s="1">
        <v>7</v>
      </c>
      <c r="C126" s="1">
        <v>5</v>
      </c>
      <c r="D126" s="1" t="s">
        <v>330</v>
      </c>
      <c r="E126" s="1" t="s">
        <v>427</v>
      </c>
    </row>
    <row r="127" spans="1:5" ht="14.25" customHeight="1" x14ac:dyDescent="0.35">
      <c r="A127" s="1" t="s">
        <v>95</v>
      </c>
      <c r="B127" s="1">
        <v>7</v>
      </c>
      <c r="C127" s="1">
        <v>5</v>
      </c>
      <c r="D127" s="1" t="s">
        <v>330</v>
      </c>
      <c r="E127" s="1" t="s">
        <v>428</v>
      </c>
    </row>
    <row r="128" spans="1:5" ht="14.25" customHeight="1" x14ac:dyDescent="0.35">
      <c r="A128" s="1" t="s">
        <v>96</v>
      </c>
      <c r="B128" s="1">
        <v>7</v>
      </c>
      <c r="C128" s="1">
        <v>4</v>
      </c>
      <c r="D128" s="1" t="s">
        <v>330</v>
      </c>
      <c r="E128" s="1" t="s">
        <v>429</v>
      </c>
    </row>
    <row r="129" spans="1:5" ht="14.25" customHeight="1" x14ac:dyDescent="0.35">
      <c r="A129" s="1" t="s">
        <v>90</v>
      </c>
      <c r="B129" s="1">
        <v>7</v>
      </c>
      <c r="C129" s="1">
        <v>4</v>
      </c>
      <c r="D129" s="1" t="s">
        <v>330</v>
      </c>
      <c r="E129" s="1" t="s">
        <v>430</v>
      </c>
    </row>
    <row r="130" spans="1:5" ht="14.25" customHeight="1" x14ac:dyDescent="0.35">
      <c r="A130" s="1" t="s">
        <v>84</v>
      </c>
      <c r="B130" s="1">
        <v>7</v>
      </c>
      <c r="C130" s="1">
        <v>3</v>
      </c>
      <c r="D130" s="1" t="s">
        <v>330</v>
      </c>
      <c r="E130" s="1" t="s">
        <v>431</v>
      </c>
    </row>
    <row r="131" spans="1:5" ht="14.25" customHeight="1" x14ac:dyDescent="0.35">
      <c r="A131" s="1" t="s">
        <v>121</v>
      </c>
      <c r="B131" s="1">
        <v>8</v>
      </c>
      <c r="C131" s="1">
        <v>4</v>
      </c>
      <c r="D131" s="1" t="s">
        <v>330</v>
      </c>
      <c r="E131" s="1" t="s">
        <v>432</v>
      </c>
    </row>
    <row r="132" spans="1:5" ht="14.25" customHeight="1" x14ac:dyDescent="0.35">
      <c r="A132" s="1" t="s">
        <v>120</v>
      </c>
      <c r="B132" s="1">
        <v>8</v>
      </c>
      <c r="C132" s="1">
        <v>5</v>
      </c>
      <c r="D132" s="1" t="s">
        <v>330</v>
      </c>
      <c r="E132" s="1" t="s">
        <v>433</v>
      </c>
    </row>
    <row r="133" spans="1:5" ht="14.25" customHeight="1" x14ac:dyDescent="0.35">
      <c r="A133" s="1" t="s">
        <v>107</v>
      </c>
      <c r="B133" s="1">
        <v>8</v>
      </c>
      <c r="C133" s="1">
        <v>5</v>
      </c>
      <c r="D133" s="1" t="s">
        <v>330</v>
      </c>
      <c r="E133" s="1" t="s">
        <v>434</v>
      </c>
    </row>
    <row r="134" spans="1:5" ht="14.25" customHeight="1" x14ac:dyDescent="0.35">
      <c r="A134" s="1" t="s">
        <v>113</v>
      </c>
      <c r="B134" s="1">
        <v>8</v>
      </c>
      <c r="C134" s="1">
        <v>4</v>
      </c>
      <c r="D134" s="1" t="s">
        <v>330</v>
      </c>
      <c r="E134" s="1" t="s">
        <v>435</v>
      </c>
    </row>
    <row r="135" spans="1:5" ht="14.25" customHeight="1" x14ac:dyDescent="0.35">
      <c r="A135" s="1" t="s">
        <v>106</v>
      </c>
      <c r="B135" s="1">
        <v>8</v>
      </c>
      <c r="C135" s="1">
        <v>4</v>
      </c>
      <c r="D135" s="1" t="s">
        <v>330</v>
      </c>
      <c r="E135" s="1" t="s">
        <v>436</v>
      </c>
    </row>
    <row r="136" spans="1:5" ht="14.25" customHeight="1" x14ac:dyDescent="0.35">
      <c r="A136" s="1" t="s">
        <v>108</v>
      </c>
      <c r="B136" s="1">
        <v>8</v>
      </c>
      <c r="C136" s="1">
        <v>3</v>
      </c>
      <c r="D136" s="1" t="s">
        <v>330</v>
      </c>
      <c r="E136" s="1" t="s">
        <v>437</v>
      </c>
    </row>
    <row r="137" spans="1:5" ht="14.25" customHeight="1" x14ac:dyDescent="0.35">
      <c r="A137" s="1" t="s">
        <v>438</v>
      </c>
      <c r="B137" s="1">
        <v>9</v>
      </c>
      <c r="C137" s="1">
        <v>5</v>
      </c>
      <c r="D137" s="1" t="s">
        <v>330</v>
      </c>
      <c r="E137" s="1" t="s">
        <v>439</v>
      </c>
    </row>
    <row r="138" spans="1:5" ht="14.25" customHeight="1" x14ac:dyDescent="0.35">
      <c r="A138" s="1" t="s">
        <v>440</v>
      </c>
      <c r="B138" s="1">
        <v>9</v>
      </c>
      <c r="C138" s="1">
        <v>4</v>
      </c>
      <c r="D138" s="1" t="s">
        <v>330</v>
      </c>
      <c r="E138" s="1" t="s">
        <v>441</v>
      </c>
    </row>
    <row r="139" spans="1:5" ht="14.25" customHeight="1" x14ac:dyDescent="0.35">
      <c r="A139" s="1" t="s">
        <v>442</v>
      </c>
      <c r="B139" s="1">
        <v>9</v>
      </c>
      <c r="C139" s="1">
        <v>4</v>
      </c>
      <c r="D139" s="1" t="s">
        <v>330</v>
      </c>
      <c r="E139" s="1" t="s">
        <v>443</v>
      </c>
    </row>
    <row r="140" spans="1:5" ht="14.25" customHeight="1" x14ac:dyDescent="0.35">
      <c r="A140" s="1" t="s">
        <v>444</v>
      </c>
      <c r="B140" s="1">
        <v>9</v>
      </c>
      <c r="C140" s="1">
        <v>3</v>
      </c>
      <c r="D140" s="1" t="s">
        <v>330</v>
      </c>
      <c r="E140" s="1" t="s">
        <v>445</v>
      </c>
    </row>
    <row r="141" spans="1:5" ht="14.25" customHeight="1" x14ac:dyDescent="0.35">
      <c r="A141" s="1" t="s">
        <v>446</v>
      </c>
      <c r="B141" s="1">
        <v>9</v>
      </c>
      <c r="C141" s="1">
        <v>3</v>
      </c>
      <c r="D141" s="1" t="s">
        <v>330</v>
      </c>
      <c r="E141" s="1" t="s">
        <v>447</v>
      </c>
    </row>
    <row r="142" spans="1:5" ht="14.25" customHeight="1" x14ac:dyDescent="0.35">
      <c r="A142" s="1" t="s">
        <v>236</v>
      </c>
      <c r="B142" s="1">
        <v>9</v>
      </c>
      <c r="C142" s="1">
        <v>4</v>
      </c>
      <c r="D142" s="1" t="s">
        <v>330</v>
      </c>
      <c r="E142" s="1" t="s">
        <v>448</v>
      </c>
    </row>
    <row r="143" spans="1:5" ht="14.25" customHeight="1" x14ac:dyDescent="0.35">
      <c r="A143" s="1" t="s">
        <v>238</v>
      </c>
      <c r="B143" s="1">
        <v>9</v>
      </c>
      <c r="C143" s="1">
        <v>2</v>
      </c>
      <c r="D143" s="1" t="s">
        <v>330</v>
      </c>
      <c r="E143" s="1" t="s">
        <v>449</v>
      </c>
    </row>
    <row r="144" spans="1:5" ht="14.25" customHeight="1" x14ac:dyDescent="0.35">
      <c r="A144" s="1" t="s">
        <v>450</v>
      </c>
      <c r="B144" s="1">
        <v>10</v>
      </c>
      <c r="C144" s="1">
        <v>5</v>
      </c>
      <c r="D144" s="1" t="s">
        <v>330</v>
      </c>
      <c r="E144" s="1" t="s">
        <v>451</v>
      </c>
    </row>
    <row r="145" spans="1:5" ht="14.25" customHeight="1" x14ac:dyDescent="0.35">
      <c r="A145" s="1" t="s">
        <v>452</v>
      </c>
      <c r="B145" s="1">
        <v>10</v>
      </c>
      <c r="C145" s="1">
        <v>5</v>
      </c>
      <c r="D145" s="1" t="s">
        <v>330</v>
      </c>
      <c r="E145" s="1" t="s">
        <v>453</v>
      </c>
    </row>
    <row r="146" spans="1:5" ht="14.25" customHeight="1" x14ac:dyDescent="0.35">
      <c r="A146" s="1" t="s">
        <v>454</v>
      </c>
      <c r="B146" s="1">
        <v>10</v>
      </c>
      <c r="C146" s="1">
        <v>7</v>
      </c>
      <c r="D146" s="1" t="s">
        <v>330</v>
      </c>
      <c r="E146" s="1" t="s">
        <v>455</v>
      </c>
    </row>
    <row r="147" spans="1:5" ht="14.25" customHeight="1" x14ac:dyDescent="0.35">
      <c r="A147" s="1" t="s">
        <v>456</v>
      </c>
      <c r="B147" s="1">
        <v>10</v>
      </c>
      <c r="C147" s="1">
        <v>2</v>
      </c>
      <c r="D147" s="1" t="s">
        <v>330</v>
      </c>
      <c r="E147" s="1" t="s">
        <v>457</v>
      </c>
    </row>
    <row r="148" spans="1:5" ht="14.25" customHeight="1" x14ac:dyDescent="0.35">
      <c r="A148" s="1" t="s">
        <v>242</v>
      </c>
      <c r="B148" s="1">
        <v>10</v>
      </c>
      <c r="C148" s="1">
        <v>4</v>
      </c>
      <c r="D148" s="1" t="s">
        <v>330</v>
      </c>
      <c r="E148" s="1" t="s">
        <v>458</v>
      </c>
    </row>
    <row r="149" spans="1:5" ht="14.25" customHeight="1" x14ac:dyDescent="0.35">
      <c r="A149" s="1" t="s">
        <v>244</v>
      </c>
      <c r="B149" s="1">
        <v>10</v>
      </c>
      <c r="C149" s="1">
        <v>2</v>
      </c>
      <c r="D149" s="1" t="s">
        <v>330</v>
      </c>
      <c r="E149" s="1" t="s">
        <v>459</v>
      </c>
    </row>
    <row r="150" spans="1:5" ht="14.25" customHeight="1" x14ac:dyDescent="0.35">
      <c r="B150" s="1">
        <v>0</v>
      </c>
    </row>
    <row r="151" spans="1:5" ht="14.25" customHeight="1" x14ac:dyDescent="0.35"/>
    <row r="152" spans="1:5" ht="14.25" customHeight="1" x14ac:dyDescent="0.35"/>
    <row r="153" spans="1:5" ht="14.25" customHeight="1" x14ac:dyDescent="0.35"/>
    <row r="154" spans="1:5" ht="14.25" customHeight="1" x14ac:dyDescent="0.35"/>
    <row r="155" spans="1:5" ht="14.25" customHeight="1" x14ac:dyDescent="0.35"/>
    <row r="156" spans="1:5" ht="14.25" customHeight="1" x14ac:dyDescent="0.35"/>
    <row r="157" spans="1:5" ht="14.25" customHeight="1" x14ac:dyDescent="0.35"/>
    <row r="158" spans="1:5" ht="14.25" customHeight="1" x14ac:dyDescent="0.35"/>
    <row r="159" spans="1:5" ht="14.25" customHeight="1" x14ac:dyDescent="0.35"/>
    <row r="160" spans="1:5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CD201</vt:lpstr>
      <vt:lpstr>IRD201</vt:lpstr>
      <vt:lpstr>IRD202</vt:lpstr>
      <vt:lpstr>IRD501</vt:lpstr>
      <vt:lpstr>IRD502</vt:lpstr>
      <vt:lpstr>IRICE701</vt:lpstr>
      <vt:lpstr>IRICE801</vt:lpstr>
      <vt:lpstr>IRICE802</vt:lpstr>
      <vt:lpstr>DAD101</vt:lpstr>
      <vt:lpstr>DAD201</vt:lpstr>
      <vt:lpstr>DAD202</vt:lpstr>
      <vt:lpstr>DAD203</vt:lpstr>
      <vt:lpstr>DAD204</vt:lpstr>
      <vt:lpstr>DAD205</vt:lpstr>
      <vt:lpstr>DAD206</vt:lpstr>
      <vt:lpstr>DAD207</vt:lpstr>
      <vt:lpstr>DAD208</vt:lpstr>
      <vt:lpstr>DAD209</vt:lpstr>
      <vt:lpstr>DDA301</vt:lpstr>
      <vt:lpstr>DDA401</vt:lpstr>
      <vt:lpstr>DDA501</vt:lpstr>
      <vt:lpstr>DDA502</vt:lpstr>
      <vt:lpstr>DDA503</vt:lpstr>
      <vt:lpstr>DDA504</vt:lpstr>
      <vt:lpstr>DDA505</vt:lpstr>
      <vt:lpstr>LDDPA701</vt:lpstr>
      <vt:lpstr>LDDPA702</vt:lpstr>
      <vt:lpstr>LDDPA801</vt:lpstr>
      <vt:lpstr>LDDPA802</vt:lpstr>
      <vt:lpstr>LDDPA803</vt:lpstr>
      <vt:lpstr>LDDPAE804</vt:lpstr>
      <vt:lpstr>LDDPA901</vt:lpstr>
      <vt:lpstr>LDDPA1001</vt:lpstr>
      <vt:lpstr>Docentes</vt:lpstr>
      <vt:lpstr>Materias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Oliver Raúl Velazquez Torres</cp:lastModifiedBy>
  <cp:lastPrinted>2025-01-23T20:01:32Z</cp:lastPrinted>
  <dcterms:created xsi:type="dcterms:W3CDTF">2023-08-05T19:12:18Z</dcterms:created>
  <dcterms:modified xsi:type="dcterms:W3CDTF">2025-01-23T20:04:48Z</dcterms:modified>
</cp:coreProperties>
</file>