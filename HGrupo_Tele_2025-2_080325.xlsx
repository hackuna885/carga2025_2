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E179A365-7228-421C-B372-6942C4530BFF}" xr6:coauthVersionLast="47" xr6:coauthVersionMax="47" xr10:uidLastSave="{00000000-0000-0000-0000-000000000000}"/>
  <bookViews>
    <workbookView xWindow="0" yWindow="0" windowWidth="11520" windowHeight="12360" activeTab="2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l="1"/>
  <c r="D38" i="35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<sst xmlns="http://schemas.openxmlformats.org/spreadsheetml/2006/main" count="2158" uniqueCount="457">
  <si>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</si>
  <si>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</si>
  <si>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</si>
  <si>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</si>
  <si>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</si>
  <si>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</si>
  <si>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</si>
  <si>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</si>
  <si>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</si>
  <si>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</si>
  <si>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</si>
  <si>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</si>
  <si>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</si>
  <si>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</si>
  <si>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</si>
  <si>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</si>
  <si>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</si>
  <si>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</si>
  <si>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</si>
  <si>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</si>
  <si>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</si>
  <si>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</si>
  <si>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</si>
  <si>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</si>
  <si>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</si>
  <si>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</si>
  <si>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</si>
  <si>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</si>
  <si>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</si>
  <si>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</si>
  <si>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</si>
  <si>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</si>
  <si>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</si>
  <si>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</si>
  <si>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</si>
  <si>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</si>
  <si>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</si>
  <si>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</si>
  <si>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</si>
  <si>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</si>
  <si>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</si>
  <si>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</si>
  <si>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</si>
  <si>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</si>
  <si>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</si>
  <si>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</si>
  <si>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</si>
  <si>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</si>
  <si>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</si>
  <si>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</si>
  <si>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</si>
  <si>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</si>
  <si>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</si>
  <si>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</si>
  <si>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</si>
  <si>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</si>
  <si>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</si>
  <si>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</si>
  <si>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</si>
  <si>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</si>
  <si>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</si>
  <si>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</si>
  <si>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</si>
  <si>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</si>
  <si>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</si>
  <si>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</si>
  <si>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</si>
  <si>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</si>
  <si>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</si>
  <si>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</si>
  <si>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</si>
  <si>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</si>
  <si>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</si>
  <si>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</si>
  <si>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</si>
  <si>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</si>
  <si>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</si>
  <si>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</si>
  <si>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</si>
  <si>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</si>
  <si>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</si>
  <si>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</si>
  <si>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</si>
  <si>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</si>
  <si>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</si>
  <si>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</si>
  <si>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</si>
  <si>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</si>
  <si>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</si>
  <si>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</si>
  <si>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</si>
  <si>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</si>
  <si>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</si>
  <si>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</si>
  <si>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</si>
  <si>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</si>
  <si>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</si>
  <si>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</si>
  <si>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</si>
  <si>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</si>
  <si>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</si>
  <si>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</si>
  <si>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</si>
  <si>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</si>
  <si>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</si>
  <si>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</si>
  <si>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</si>
  <si>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</si>
  <si>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</si>
  <si>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</si>
  <si>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</si>
  <si>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</si>
  <si>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</si>
  <si>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</si>
  <si>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</si>
  <si>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</si>
  <si>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</si>
  <si>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</si>
  <si>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</si>
  <si>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</si>
  <si>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</si>
  <si>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</si>
  <si>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</si>
  <si>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</si>
  <si>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</si>
  <si>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</si>
  <si>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</si>
  <si>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</si>
  <si>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</si>
  <si>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</si>
  <si>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</si>
  <si>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</si>
  <si>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</si>
  <si>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</si>
  <si>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</si>
  <si>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</si>
  <si>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</si>
  <si>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</si>
  <si>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</si>
  <si>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</si>
  <si>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</si>
  <si>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</si>
  <si>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</si>
  <si>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</si>
  <si>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</si>
  <si>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</si>
  <si>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</si>
  <si>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</si>
  <si>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</si>
  <si>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</si>
  <si>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</si>
  <si>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</si>
  <si>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</si>
  <si>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</si>
  <si>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</si>
  <si>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</si>
  <si>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</si>
  <si>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</si>
  <si>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</si>
  <si>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</si>
  <si>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</si>
  <si>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</si>
  <si>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</si>
  <si>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</si>
  <si>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</si>
  <si>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</si>
  <si>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</si>
  <si>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</si>
  <si>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</si>
  <si>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</si>
  <si>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</si>
  <si>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</si>
  <si>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</si>
  <si>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</si>
  <si>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</si>
  <si>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</si>
  <si>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</si>
  <si>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</si>
  <si>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</si>
  <si>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</si>
  <si>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</si>
  <si>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</si>
  <si>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</si>
  <si>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</si>
  <si>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</si>
  <si>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</si>
  <si>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</si>
  <si>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</si>
  <si>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</si>
  <si>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</si>
  <si>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</si>
  <si>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</si>
  <si>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</si>
  <si>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</si>
  <si>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</si>
  <si>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</si>
  <si>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</si>
  <si>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</si>
  <si>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</si>
  <si>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</si>
  <si>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</si>
  <si>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</si>
  <si>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</si>
  <si>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</si>
  <si>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</si>
  <si>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</si>
  <si>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</si>
  <si>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</si>
  <si>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</si>
  <si>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</si>
  <si>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</si>
  <si>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</si>
  <si>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</si>
  <si>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</si>
  <si>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</si>
  <si>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</si>
  <si>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</si>
  <si>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</si>
  <si>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</si>
  <si>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</si>
  <si>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</si>
  <si>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</si>
  <si>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</si>
  <si>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</si>
  <si>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</si>
  <si>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</si>
  <si>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</si>
  <si>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</si>
  <si>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</si>
  <si>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</si>
  <si>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</si>
  <si>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</si>
  <si>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</si>
  <si>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</si>
  <si>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</si>
  <si>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</si>
  <si>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</si>
  <si>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</si>
  <si>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</si>
  <si>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</si>
  <si>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</si>
  <si>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</si>
  <si>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</si>
  <si>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</si>
  <si>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</si>
  <si>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</si>
  <si>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</si>
  <si>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</si>
  <si>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</si>
  <si>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</si>
  <si>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</si>
  <si>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</si>
  <si>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</si>
  <si>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</si>
  <si>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</si>
  <si>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</si>
  <si>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</si>
  <si>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</si>
  <si>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</si>
  <si>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</si>
  <si>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</si>
  <si>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</si>
  <si>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</si>
  <si>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</si>
  <si>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</si>
  <si>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</si>
  <si>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</si>
  <si>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</si>
  <si>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</si>
  <si>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</si>
  <si>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</si>
  <si>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</si>
  <si>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</si>
  <si>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</si>
  <si>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</si>
  <si>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</si>
  <si>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</si>
  <si>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</si>
  <si>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</si>
  <si>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</si>
  <si>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</si>
  <si>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</si>
  <si>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</si>
  <si>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</si>
  <si>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</si>
  <si>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</si>
  <si>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</si>
  <si>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</si>
  <si>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</si>
  <si>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</si>
  <si>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</si>
  <si>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</si>
  <si>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</si>
  <si>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</si>
  <si>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</si>
  <si>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</si>
  <si>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</si>
  <si>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</si>
  <si>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</si>
  <si>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</si>
  <si>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</si>
  <si>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</si>
  <si>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</si>
  <si>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</si>
  <si>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</si>
  <si>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</si>
  <si>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</si>
  <si>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</si>
  <si>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</si>
  <si>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</si>
  <si>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</si>
  <si>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</si>
  <si>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</si>
  <si>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</si>
  <si>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</si>
  <si>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</si>
  <si>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</si>
  <si>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</si>
  <si>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</si>
  <si>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</si>
  <si>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</si>
  <si>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</si>
  <si>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</si>
  <si>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</si>
  <si>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</si>
  <si>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</si>
  <si>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</si>
  <si>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</si>
  <si>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</si>
  <si>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</si>
  <si>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</si>
  <si>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</si>
  <si>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</si>
  <si>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</si>
  <si>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</si>
  <si>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</si>
  <si>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</si>
  <si>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</si>
  <si>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</si>
  <si>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</si>
  <si>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</si>
  <si>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</si>
  <si>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</si>
  <si>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</si>
  <si>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</si>
  <si>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</si>
  <si>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</si>
  <si>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</si>
  <si>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</si>
  <si>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</si>
  <si>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</si>
  <si>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</si>
  <si>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</si>
  <si>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</si>
  <si>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</si>
  <si>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</si>
  <si>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</si>
  <si>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</si>
  <si>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</si>
  <si>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</si>
  <si>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</si>
  <si>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</si>
  <si>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</si>
  <si>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</si>
  <si>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</si>
  <si>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</si>
  <si>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</si>
  <si>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</si>
  <si>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</si>
  <si>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</si>
  <si>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</si>
  <si>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</si>
  <si>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</si>
  <si>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</si>
  <si>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</si>
  <si>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</si>
  <si>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</si>
  <si>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</si>
  <si>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</si>
  <si>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</si>
  <si>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</si>
  <si>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</si>
  <si>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</si>
  <si>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</si>
  <si>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</si>
  <si>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</si>
  <si>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</si>
  <si>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</si>
  <si>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</si>
  <si>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</si>
  <si>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</si>
  <si>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</si>
  <si>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</si>
  <si>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</si>
  <si>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</si>
  <si>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</si>
  <si>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</si>
  <si>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</si>
  <si>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</si>
  <si>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</si>
  <si>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</si>
  <si>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</si>
  <si>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</si>
  <si>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</si>
  <si>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</si>
  <si>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</si>
  <si>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</si>
  <si>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</si>
  <si>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</si>
  <si>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</si>
  <si>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</si>
  <si>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</si>
  <si>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</si>
  <si>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</si>
  <si>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</si>
  <si>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</si>
  <si>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</si>
  <si>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</si>
  <si>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</si>
  <si>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</si>
  <si>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</si>
  <si>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</si>
  <si>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</si>
  <si>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</si>
  <si>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</si>
  <si>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</si>
  <si>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</si>
  <si>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</si>
  <si>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</si>
  <si>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</si>
  <si>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</si>
  <si>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</si>
  <si>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</si>
  <si>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</si>
  <si>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</si>
  <si>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</si>
  <si>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</si>
  <si>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</si>
  <si>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</si>
  <si>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</si>
  <si>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</si>
  <si>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</si>
  <si>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</si>
  <si>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</si>
  <si>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</si>
  <si>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</si>
  <si>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</si>
  <si>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</si>
  <si>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</si>
  <si>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</si>
  <si>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</si>
  <si>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</si>
  <si>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</si>
  <si>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</si>
  <si>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</si>
  <si>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</si>
  <si>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CASAS GÓMEZ VÍCTOR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</si>
</sst>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16" fillId="0" borderId="10" xfId="0" applyFont="1" applyBorder="1" applyAlignment="1">
      <alignment horizontal="left" vertical="center"/>
    </xf>
    <xf numFmtId="0" fontId="16" fillId="4" borderId="10" xfId="0" applyFont="1" applyFill="1" applyBorder="1" applyAlignment="1">
      <alignment horizontal="left" vertical="center"/>
    </xf>
    <xf numFmtId="0" fontId="9" fillId="4" borderId="11" xfId="0" applyFont="1" applyFill="1" applyBorder="1"/>
    <xf numFmtId="0" fontId="9" fillId="4" borderId="12" xfId="0" applyFont="1" applyFill="1" applyBorder="1"/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left" vertical="center"/>
    </xf>
    <xf numFmtId="0" fontId="13" fillId="0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CC"/>
      <color rgb="FFFF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view="pageBreakPreview" topLeftCell="A4" zoomScale="80" zoomScaleNormal="100" zoomScaleSheetLayoutView="80" workbookViewId="0">
      <selection activeCell="E13" sqref="E13:E1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428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427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30" t="s">
        <v>406</v>
      </c>
      <c r="C13" s="30" t="s">
        <v>402</v>
      </c>
      <c r="D13" s="30" t="s">
        <v>402</v>
      </c>
      <c r="E13" s="30" t="s">
        <v>406</v>
      </c>
      <c r="F13" s="14" t="s">
        <v>408</v>
      </c>
      <c r="G13" s="16"/>
    </row>
    <row r="14" spans="1:7" ht="52.2" x14ac:dyDescent="0.3">
      <c r="A14" s="18" t="s">
        <v>14</v>
      </c>
      <c r="B14" s="30" t="s">
        <v>406</v>
      </c>
      <c r="C14" s="30" t="s">
        <v>402</v>
      </c>
      <c r="D14" s="30" t="s">
        <v>402</v>
      </c>
      <c r="E14" s="30" t="s">
        <v>406</v>
      </c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59"/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404</v>
      </c>
      <c r="C17" s="59"/>
      <c r="D17" s="59"/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404</v>
      </c>
      <c r="C18" s="59"/>
      <c r="D18" s="16"/>
      <c r="E18" s="30" t="s">
        <v>404</v>
      </c>
      <c r="F18" s="30" t="s">
        <v>404</v>
      </c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400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401</v>
      </c>
      <c r="B31" s="38"/>
      <c r="C31" s="39"/>
      <c r="D31" s="22">
        <f>VLOOKUP(A31, Materias!A2:C207, 3, FALSE)</f>
        <v>4</v>
      </c>
      <c r="E31" s="44" t="s">
        <v>40</v>
      </c>
      <c r="F31" s="45"/>
      <c r="G31" s="46"/>
    </row>
    <row r="32" spans="1:7" ht="14.25" customHeight="1" x14ac:dyDescent="0.3">
      <c r="A32" s="37" t="s">
        <v>402</v>
      </c>
      <c r="B32" s="38"/>
      <c r="C32" s="39"/>
      <c r="D32" s="22">
        <f>VLOOKUP(A32, Materias!A2:C207, 3, FALSE)</f>
        <v>4</v>
      </c>
      <c r="E32" s="44" t="s">
        <v>41</v>
      </c>
      <c r="F32" s="45"/>
      <c r="G32" s="46"/>
    </row>
    <row r="33" spans="1:7" ht="14.25" customHeight="1" x14ac:dyDescent="0.3">
      <c r="A33" s="37" t="s">
        <v>403</v>
      </c>
      <c r="B33" s="38"/>
      <c r="C33" s="39"/>
      <c r="D33" s="22">
        <f>VLOOKUP(A33, Materias!A2:C207, 3, FALSE)</f>
        <v>6</v>
      </c>
      <c r="E33" s="43" t="s">
        <v>45</v>
      </c>
      <c r="F33" s="38"/>
      <c r="G33" s="39"/>
    </row>
    <row r="34" spans="1:7" ht="14.25" customHeight="1" x14ac:dyDescent="0.3">
      <c r="A34" s="37" t="s">
        <v>404</v>
      </c>
      <c r="B34" s="38"/>
      <c r="C34" s="39"/>
      <c r="D34" s="22">
        <f>VLOOKUP(A34, Materias!A2:C207, 3, FALSE)</f>
        <v>6</v>
      </c>
      <c r="E34" s="44" t="s">
        <v>42</v>
      </c>
      <c r="F34" s="45"/>
      <c r="G34" s="46"/>
    </row>
    <row r="35" spans="1:7" ht="14.25" customHeight="1" x14ac:dyDescent="0.3">
      <c r="A35" s="37" t="s">
        <v>405</v>
      </c>
      <c r="B35" s="38"/>
      <c r="C35" s="39"/>
      <c r="D35" s="22">
        <f>VLOOKUP(A35, Materias!A2:C207, 3, FALSE)</f>
        <v>6</v>
      </c>
      <c r="E35" s="43" t="s">
        <v>455</v>
      </c>
      <c r="F35" s="38"/>
      <c r="G35" s="39"/>
    </row>
    <row r="36" spans="1:7" ht="14.25" customHeight="1" x14ac:dyDescent="0.3">
      <c r="A36" s="37" t="s">
        <v>406</v>
      </c>
      <c r="B36" s="38"/>
      <c r="C36" s="39"/>
      <c r="D36" s="22">
        <f>VLOOKUP(A36, Materias!A3:C208, 3, FALSE)</f>
        <v>4</v>
      </c>
      <c r="E36" s="43" t="s">
        <v>55</v>
      </c>
      <c r="F36" s="38"/>
      <c r="G36" s="39"/>
    </row>
    <row r="37" spans="1:7" ht="14.25" customHeight="1" x14ac:dyDescent="0.3">
      <c r="A37" s="37" t="s">
        <v>407</v>
      </c>
      <c r="B37" s="38"/>
      <c r="C37" s="39"/>
      <c r="D37" s="22">
        <f>VLOOKUP(A37, Materias!A4:C209, 3, FALSE)</f>
        <v>1</v>
      </c>
      <c r="E37" s="43"/>
      <c r="F37" s="38"/>
      <c r="G37" s="39"/>
    </row>
    <row r="38" spans="1:7" ht="14.25" customHeight="1" x14ac:dyDescent="0.3">
      <c r="A38" s="37" t="s">
        <v>408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Docentes!$B$2:$B$100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Docentes!$B$2:$B$304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view="pageBreakPreview" topLeftCell="A11" zoomScale="80" zoomScaleNormal="50" zoomScaleSheetLayoutView="80" workbookViewId="0">
      <selection activeCell="D16" sqref="D16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433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30" t="s">
        <v>420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30" t="s">
        <v>420</v>
      </c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30" t="s">
        <v>422</v>
      </c>
      <c r="E15" s="30" t="s">
        <v>424</v>
      </c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30" t="s">
        <v>420</v>
      </c>
      <c r="D16" s="30" t="s">
        <v>420</v>
      </c>
      <c r="E16" s="30" t="s">
        <v>424</v>
      </c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4.799999999999997" x14ac:dyDescent="0.3">
      <c r="A18" s="18" t="s">
        <v>22</v>
      </c>
      <c r="B18" s="30" t="s">
        <v>422</v>
      </c>
      <c r="C18" s="30" t="s">
        <v>422</v>
      </c>
      <c r="D18" s="59"/>
      <c r="E18" s="16"/>
      <c r="F18" s="30" t="s">
        <v>424</v>
      </c>
      <c r="G18" s="16"/>
    </row>
    <row r="19" spans="1:7" ht="34.799999999999997" x14ac:dyDescent="0.3">
      <c r="A19" s="18" t="s">
        <v>24</v>
      </c>
      <c r="B19" s="30" t="s">
        <v>422</v>
      </c>
      <c r="C19" s="30" t="s">
        <v>422</v>
      </c>
      <c r="D19" s="59"/>
      <c r="E19" s="16"/>
      <c r="F19" s="30" t="s">
        <v>424</v>
      </c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418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419</v>
      </c>
      <c r="B31" s="38"/>
      <c r="C31" s="39"/>
      <c r="D31" s="22">
        <f>VLOOKUP(A31, Materias!A2:C207, 3, FALSE)</f>
        <v>4</v>
      </c>
      <c r="E31" s="44" t="s">
        <v>40</v>
      </c>
      <c r="F31" s="45"/>
      <c r="G31" s="46"/>
    </row>
    <row r="32" spans="1:7" ht="14.25" customHeight="1" x14ac:dyDescent="0.3">
      <c r="A32" s="37" t="s">
        <v>420</v>
      </c>
      <c r="B32" s="38"/>
      <c r="C32" s="39"/>
      <c r="D32" s="22">
        <f>VLOOKUP(A32, Materias!A2:C207, 3, FALSE)</f>
        <v>4</v>
      </c>
      <c r="E32" s="44" t="s">
        <v>41</v>
      </c>
      <c r="F32" s="45"/>
      <c r="G32" s="46"/>
    </row>
    <row r="33" spans="1:7" ht="14.25" customHeight="1" x14ac:dyDescent="0.3">
      <c r="A33" s="37" t="s">
        <v>421</v>
      </c>
      <c r="B33" s="38"/>
      <c r="C33" s="39"/>
      <c r="D33" s="22">
        <f>VLOOKUP(A33, Materias!A2:C207, 3, FALSE)</f>
        <v>6</v>
      </c>
      <c r="E33" s="43" t="s">
        <v>455</v>
      </c>
      <c r="F33" s="38"/>
      <c r="G33" s="39"/>
    </row>
    <row r="34" spans="1:7" ht="14.25" customHeight="1" x14ac:dyDescent="0.3">
      <c r="A34" s="37" t="s">
        <v>422</v>
      </c>
      <c r="B34" s="38"/>
      <c r="C34" s="39"/>
      <c r="D34" s="22">
        <f>VLOOKUP(A34, Materias!A2:C207, 3, FALSE)</f>
        <v>5</v>
      </c>
      <c r="E34" s="44" t="s">
        <v>57</v>
      </c>
      <c r="F34" s="45"/>
      <c r="G34" s="46"/>
    </row>
    <row r="35" spans="1:7" ht="14.25" customHeight="1" x14ac:dyDescent="0.3">
      <c r="A35" s="37" t="s">
        <v>423</v>
      </c>
      <c r="B35" s="38"/>
      <c r="C35" s="39"/>
      <c r="D35" s="22">
        <f>VLOOKUP(A35, Materias!A2:C207, 3, FALSE)</f>
        <v>7</v>
      </c>
      <c r="E35" s="44" t="s">
        <v>42</v>
      </c>
      <c r="F35" s="45"/>
      <c r="G35" s="46"/>
    </row>
    <row r="36" spans="1:7" ht="14.25" customHeight="1" x14ac:dyDescent="0.3">
      <c r="A36" s="37" t="s">
        <v>424</v>
      </c>
      <c r="B36" s="38"/>
      <c r="C36" s="39"/>
      <c r="D36" s="22">
        <f>VLOOKUP(A36, Materias!A2:C207, 3, FALSE)</f>
        <v>4</v>
      </c>
      <c r="E36" s="44" t="s">
        <v>54</v>
      </c>
      <c r="F36" s="45"/>
      <c r="G36" s="46"/>
    </row>
    <row r="37" spans="1:7" ht="14.25" customHeight="1" x14ac:dyDescent="0.3">
      <c r="A37" s="37" t="s">
        <v>425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426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Docentes!$B$2:$B$304</xm:f>
          </x14:formula1>
          <xm:sqref>E30 E32:E38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  <x14:dataValidation type="list" allowBlank="1" xr:uid="{00000000-0002-0000-01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tabSelected="1" view="pageBreakPreview" topLeftCell="A13" zoomScale="80" zoomScaleNormal="50" zoomScaleSheetLayoutView="80" workbookViewId="0">
      <selection activeCell="D18" sqref="D18:D19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434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52.2" x14ac:dyDescent="0.3">
      <c r="A15" s="18" t="s">
        <v>15</v>
      </c>
      <c r="B15" s="30" t="s">
        <v>422</v>
      </c>
      <c r="C15" s="30" t="s">
        <v>422</v>
      </c>
      <c r="D15" s="30" t="s">
        <v>423</v>
      </c>
      <c r="E15" s="30" t="s">
        <v>423</v>
      </c>
      <c r="F15" s="30" t="s">
        <v>420</v>
      </c>
      <c r="G15" s="16"/>
    </row>
    <row r="16" spans="1:7" ht="52.2" x14ac:dyDescent="0.3">
      <c r="A16" s="18" t="s">
        <v>18</v>
      </c>
      <c r="B16" s="30" t="s">
        <v>422</v>
      </c>
      <c r="C16" s="30" t="s">
        <v>422</v>
      </c>
      <c r="D16" s="30" t="s">
        <v>422</v>
      </c>
      <c r="E16" s="30" t="s">
        <v>423</v>
      </c>
      <c r="F16" s="30" t="s">
        <v>420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4.799999999999997" x14ac:dyDescent="0.3">
      <c r="A18" s="18" t="s">
        <v>22</v>
      </c>
      <c r="B18" s="30" t="s">
        <v>424</v>
      </c>
      <c r="C18" s="59"/>
      <c r="D18" s="30" t="s">
        <v>424</v>
      </c>
      <c r="E18" s="30" t="s">
        <v>420</v>
      </c>
      <c r="F18" s="16"/>
      <c r="G18" s="16"/>
    </row>
    <row r="19" spans="1:7" ht="34.799999999999997" x14ac:dyDescent="0.3">
      <c r="A19" s="18" t="s">
        <v>24</v>
      </c>
      <c r="B19" s="30" t="s">
        <v>424</v>
      </c>
      <c r="C19" s="16"/>
      <c r="D19" s="30" t="s">
        <v>424</v>
      </c>
      <c r="E19" s="30" t="s">
        <v>420</v>
      </c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418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419</v>
      </c>
      <c r="B31" s="38"/>
      <c r="C31" s="39"/>
      <c r="D31" s="22">
        <f>VLOOKUP(A31, Materias!A2:C207, 3, FALSE)</f>
        <v>4</v>
      </c>
      <c r="E31" s="44" t="s">
        <v>40</v>
      </c>
      <c r="F31" s="45"/>
      <c r="G31" s="46"/>
    </row>
    <row r="32" spans="1:7" ht="14.25" customHeight="1" x14ac:dyDescent="0.3">
      <c r="A32" s="37" t="s">
        <v>420</v>
      </c>
      <c r="B32" s="38"/>
      <c r="C32" s="39"/>
      <c r="D32" s="22">
        <f>VLOOKUP(A32, Materias!A2:C207, 3, FALSE)</f>
        <v>4</v>
      </c>
      <c r="E32" s="44" t="s">
        <v>456</v>
      </c>
      <c r="F32" s="45"/>
      <c r="G32" s="46"/>
    </row>
    <row r="33" spans="1:7" ht="14.25" customHeight="1" x14ac:dyDescent="0.3">
      <c r="A33" s="37" t="s">
        <v>421</v>
      </c>
      <c r="B33" s="38"/>
      <c r="C33" s="39"/>
      <c r="D33" s="22">
        <f>VLOOKUP(A33, Materias!A2:C207, 3, FALSE)</f>
        <v>6</v>
      </c>
      <c r="E33" s="43" t="s">
        <v>455</v>
      </c>
      <c r="F33" s="38"/>
      <c r="G33" s="39"/>
    </row>
    <row r="34" spans="1:7" ht="14.25" customHeight="1" x14ac:dyDescent="0.3">
      <c r="A34" s="37" t="s">
        <v>422</v>
      </c>
      <c r="B34" s="38"/>
      <c r="C34" s="39"/>
      <c r="D34" s="22">
        <f>VLOOKUP(A34, Materias!A2:C207, 3, FALSE)</f>
        <v>5</v>
      </c>
      <c r="E34" s="44" t="s">
        <v>57</v>
      </c>
      <c r="F34" s="45"/>
      <c r="G34" s="46"/>
    </row>
    <row r="35" spans="1:7" ht="14.25" customHeight="1" x14ac:dyDescent="0.3">
      <c r="A35" s="37" t="s">
        <v>423</v>
      </c>
      <c r="B35" s="38"/>
      <c r="C35" s="39"/>
      <c r="D35" s="22">
        <f>VLOOKUP(A35, Materias!A2:C207, 3, FALSE)</f>
        <v>7</v>
      </c>
      <c r="E35" s="44" t="s">
        <v>42</v>
      </c>
      <c r="F35" s="45"/>
      <c r="G35" s="46"/>
    </row>
    <row r="36" spans="1:7" ht="14.25" customHeight="1" x14ac:dyDescent="0.3">
      <c r="A36" s="37" t="s">
        <v>424</v>
      </c>
      <c r="B36" s="38"/>
      <c r="C36" s="39"/>
      <c r="D36" s="22">
        <f>VLOOKUP(A36, Materias!A2:C207, 3, FALSE)</f>
        <v>4</v>
      </c>
      <c r="E36" s="43" t="s">
        <v>55</v>
      </c>
      <c r="F36" s="38"/>
      <c r="G36" s="39"/>
    </row>
    <row r="37" spans="1:7" ht="14.25" customHeight="1" x14ac:dyDescent="0.3">
      <c r="A37" s="37" t="s">
        <v>425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426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Docentes!$B$2:$B$304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435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81</v>
      </c>
      <c r="B30" s="38"/>
      <c r="C30" s="39"/>
      <c r="D30" s="22">
        <f>VLOOKUP(A30, Materias!A2:C207, 3, FALSE)</f>
        <v>4</v>
      </c>
      <c r="E30" s="43"/>
      <c r="F30" s="38"/>
      <c r="G30" s="39"/>
    </row>
    <row r="31" spans="1:7" ht="14.25" customHeight="1" x14ac:dyDescent="0.3">
      <c r="A31" s="37" t="s">
        <v>80</v>
      </c>
      <c r="B31" s="38"/>
      <c r="C31" s="39"/>
      <c r="D31" s="22">
        <f>VLOOKUP(A31, Materias!A2:C207, 3, FALSE)</f>
        <v>5</v>
      </c>
      <c r="E31" s="43"/>
      <c r="F31" s="38"/>
      <c r="G31" s="39"/>
    </row>
    <row r="32" spans="1:7" ht="14.25" customHeight="1" x14ac:dyDescent="0.3">
      <c r="A32" s="37" t="s">
        <v>77</v>
      </c>
      <c r="B32" s="38"/>
      <c r="C32" s="39"/>
      <c r="D32" s="22">
        <f>VLOOKUP(A32, Materias!A2:C207, 3, FALSE)</f>
        <v>5</v>
      </c>
      <c r="E32" s="43" t="s">
        <v>74</v>
      </c>
      <c r="F32" s="38"/>
      <c r="G32" s="39"/>
    </row>
    <row r="33" spans="1:7" ht="14.25" customHeight="1" x14ac:dyDescent="0.3">
      <c r="A33" s="37" t="s">
        <v>79</v>
      </c>
      <c r="B33" s="38"/>
      <c r="C33" s="39"/>
      <c r="D33" s="22">
        <f>VLOOKUP(A33, Materias!A2:C207, 3, FALSE)</f>
        <v>4</v>
      </c>
      <c r="E33" s="43"/>
      <c r="F33" s="38"/>
      <c r="G33" s="39"/>
    </row>
    <row r="34" spans="1:7" ht="14.25" customHeight="1" x14ac:dyDescent="0.3">
      <c r="A34" s="37" t="s">
        <v>76</v>
      </c>
      <c r="B34" s="38"/>
      <c r="C34" s="39"/>
      <c r="D34" s="22">
        <f>VLOOKUP(A34, Materias!A2:C207,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78</v>
      </c>
      <c r="B35" s="38"/>
      <c r="C35" s="39"/>
      <c r="D35" s="22">
        <f>VLOOKUP(A35, Materias!A2:C207, 3, FALSE)</f>
        <v>3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49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Docentes!$B$2:$B$70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436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357</v>
      </c>
      <c r="B30" s="38"/>
      <c r="C30" s="39"/>
      <c r="D30" s="22">
        <f>VLOOKUP(A30, Materias!A2:C207, 3, FALSE)</f>
        <v>5</v>
      </c>
      <c r="E30" s="43"/>
      <c r="F30" s="38"/>
      <c r="G30" s="39"/>
    </row>
    <row r="31" spans="1:7" ht="14.25" customHeight="1" x14ac:dyDescent="0.3">
      <c r="A31" s="37" t="s">
        <v>359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361</v>
      </c>
      <c r="B32" s="38"/>
      <c r="C32" s="39"/>
      <c r="D32" s="22">
        <f>VLOOKUP(A32, Materias!A2:C207, 3, FALSE)</f>
        <v>4</v>
      </c>
      <c r="E32" s="43"/>
      <c r="F32" s="38"/>
      <c r="G32" s="39"/>
    </row>
    <row r="33" spans="1:7" ht="14.25" customHeight="1" x14ac:dyDescent="0.3">
      <c r="A33" s="37" t="s">
        <v>363</v>
      </c>
      <c r="B33" s="38"/>
      <c r="C33" s="39"/>
      <c r="D33" s="22">
        <f>VLOOKUP(A33, Materias!A2:C207, 3, FALSE)</f>
        <v>3</v>
      </c>
      <c r="E33" s="43"/>
      <c r="F33" s="38"/>
      <c r="G33" s="39"/>
    </row>
    <row r="34" spans="1:7" ht="14.25" customHeight="1" x14ac:dyDescent="0.3">
      <c r="A34" s="37" t="s">
        <v>365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37" t="s">
        <v>155</v>
      </c>
      <c r="B35" s="38"/>
      <c r="C35" s="39"/>
      <c r="D35" s="22">
        <f>VLOOKUP(A35, Materias!A2:C207,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157</v>
      </c>
      <c r="B36" s="38"/>
      <c r="C36" s="39"/>
      <c r="D36" s="22">
        <f>VLOOKUP(A36, Materias!A2:C207, 3, FALSE)</f>
        <v>2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6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7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5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7:C37"/>
    <mergeCell ref="E37:G37"/>
    <mergeCell ref="A39:G39"/>
    <mergeCell ref="A40:G40"/>
    <mergeCell ref="A34:C34"/>
    <mergeCell ref="E34:G34"/>
    <mergeCell ref="A33:C33"/>
    <mergeCell ref="E33:G33"/>
    <mergeCell ref="A35:C35"/>
    <mergeCell ref="E35:G35"/>
    <mergeCell ref="A36:C36"/>
    <mergeCell ref="E36:G36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Docentes!$B$2:$B$304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437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357</v>
      </c>
      <c r="B30" s="38"/>
      <c r="C30" s="39"/>
      <c r="D30" s="22">
        <f>VLOOKUP(A30, Materias!A2:C207, 3, FALSE)</f>
        <v>5</v>
      </c>
      <c r="E30" s="43"/>
      <c r="F30" s="38"/>
      <c r="G30" s="39"/>
    </row>
    <row r="31" spans="1:7" ht="14.25" customHeight="1" x14ac:dyDescent="0.3">
      <c r="A31" s="37" t="s">
        <v>359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361</v>
      </c>
      <c r="B32" s="38"/>
      <c r="C32" s="39"/>
      <c r="D32" s="22">
        <f>VLOOKUP(A32, Materias!A2:C207, 3, FALSE)</f>
        <v>4</v>
      </c>
      <c r="E32" s="43"/>
      <c r="F32" s="38"/>
      <c r="G32" s="39"/>
    </row>
    <row r="33" spans="1:7" ht="14.25" customHeight="1" x14ac:dyDescent="0.3">
      <c r="A33" s="37" t="s">
        <v>363</v>
      </c>
      <c r="B33" s="38"/>
      <c r="C33" s="39"/>
      <c r="D33" s="22">
        <f>VLOOKUP(A33, Materias!A2:C207, 3, FALSE)</f>
        <v>3</v>
      </c>
      <c r="E33" s="43"/>
      <c r="F33" s="38"/>
      <c r="G33" s="39"/>
    </row>
    <row r="34" spans="1:7" ht="14.25" customHeight="1" x14ac:dyDescent="0.3">
      <c r="A34" s="37" t="s">
        <v>365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37" t="s">
        <v>155</v>
      </c>
      <c r="B35" s="38"/>
      <c r="C35" s="39"/>
      <c r="D35" s="22">
        <f>VLOOKUP(A35, Materias!A2:C207,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157</v>
      </c>
      <c r="B36" s="38"/>
      <c r="C36" s="39"/>
      <c r="D36" s="22">
        <f>VLOOKUP(A36, Materias!A2:C207, 3, FALSE)</f>
        <v>2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6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7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5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Docentes!$B$2:$B$304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438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46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46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38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12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84</v>
      </c>
      <c r="B32" s="38"/>
      <c r="C32" s="39"/>
      <c r="D32" s="22">
        <f>VLOOKUP(A32, Materias!A2:C207, 3, FALSE)</f>
        <v>5</v>
      </c>
      <c r="E32" s="43"/>
      <c r="F32" s="38"/>
      <c r="G32" s="39"/>
    </row>
    <row r="33" spans="1:7" ht="14.25" customHeight="1" x14ac:dyDescent="0.3">
      <c r="A33" s="37" t="s">
        <v>86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87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85</v>
      </c>
      <c r="B35" s="38"/>
      <c r="C35" s="39"/>
      <c r="D35" s="22">
        <f>VLOOKUP(A35, Materias!A2:C207, 3, FALSE)</f>
        <v>7</v>
      </c>
      <c r="E35" s="43"/>
      <c r="F35" s="38"/>
      <c r="G35" s="39"/>
    </row>
    <row r="36" spans="1:7" ht="14.25" customHeight="1" x14ac:dyDescent="0.3">
      <c r="A36" s="37" t="s">
        <v>88</v>
      </c>
      <c r="B36" s="38"/>
      <c r="C36" s="39"/>
      <c r="D36" s="22">
        <f>VLOOKUP(A36, Materias!A2:C207, 3, FALSE)</f>
        <v>3</v>
      </c>
      <c r="E36" s="43"/>
      <c r="F36" s="38"/>
      <c r="G36" s="39"/>
    </row>
    <row r="37" spans="1:7" ht="14.25" customHeight="1" x14ac:dyDescent="0.3">
      <c r="A37" s="37" t="s">
        <v>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Docentes!$B$2:$B$304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A37" sqref="A37:C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110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E39:G39"/>
    <mergeCell ref="A30:C30"/>
    <mergeCell ref="A31:C31"/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E36:G36"/>
    <mergeCell ref="A37:C37"/>
    <mergeCell ref="E37:G37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439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440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441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1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447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442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8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  <mergeCell ref="A29:C29"/>
    <mergeCell ref="E29:G29"/>
    <mergeCell ref="A39:C39"/>
    <mergeCell ref="A30:C30"/>
    <mergeCell ref="A31:C31"/>
    <mergeCell ref="A36:C36"/>
    <mergeCell ref="A38:C38"/>
    <mergeCell ref="E38:G38"/>
    <mergeCell ref="A37:C37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443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8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444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8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445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8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446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8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450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126</v>
      </c>
      <c r="B30" s="38"/>
      <c r="C30" s="39"/>
      <c r="D30" s="22">
        <f>VLOOKUP(A30, Materias!A2:C527, 3, FALSE)</f>
        <v>4</v>
      </c>
      <c r="E30" s="43"/>
      <c r="F30" s="38"/>
      <c r="G30" s="39"/>
    </row>
    <row r="31" spans="1:7" ht="14.25" customHeight="1" x14ac:dyDescent="0.3">
      <c r="A31" s="37" t="s">
        <v>125</v>
      </c>
      <c r="B31" s="38"/>
      <c r="C31" s="39"/>
      <c r="D31" s="22">
        <f>VLOOKUP(A31, Materias!A2:C527, 3, FALSE)</f>
        <v>5</v>
      </c>
      <c r="E31" s="43"/>
      <c r="F31" s="38"/>
      <c r="G31" s="39"/>
    </row>
    <row r="32" spans="1:7" ht="14.25" customHeight="1" x14ac:dyDescent="0.3">
      <c r="A32" s="37" t="s">
        <v>124</v>
      </c>
      <c r="B32" s="38"/>
      <c r="C32" s="39"/>
      <c r="D32" s="22">
        <f>VLOOKUP(A32, Materias!A2:C527, 3, FALSE)</f>
        <v>4</v>
      </c>
      <c r="E32" s="43"/>
      <c r="F32" s="38"/>
      <c r="G32" s="39"/>
    </row>
    <row r="33" spans="1:7" ht="14.25" customHeight="1" x14ac:dyDescent="0.3">
      <c r="A33" s="37" t="s">
        <v>120</v>
      </c>
      <c r="B33" s="38"/>
      <c r="C33" s="39"/>
      <c r="D33" s="22">
        <f>VLOOKUP(A33, Materias!A2:C527, 3, FALSE)</f>
        <v>5</v>
      </c>
      <c r="E33" s="43"/>
      <c r="F33" s="38"/>
      <c r="G33" s="39"/>
    </row>
    <row r="34" spans="1:7" ht="14.25" customHeight="1" x14ac:dyDescent="0.3">
      <c r="A34" s="37" t="s">
        <v>127</v>
      </c>
      <c r="B34" s="38"/>
      <c r="C34" s="39"/>
      <c r="D34" s="22">
        <f>VLOOKUP(A34, Materias!A2:C527, 3, FALSE)</f>
        <v>2</v>
      </c>
      <c r="E34" s="43"/>
      <c r="F34" s="38"/>
      <c r="G34" s="39"/>
    </row>
    <row r="35" spans="1:7" ht="14.25" customHeight="1" x14ac:dyDescent="0.3">
      <c r="A35" s="37" t="s">
        <v>121</v>
      </c>
      <c r="B35" s="38"/>
      <c r="C35" s="39"/>
      <c r="D35" s="22">
        <f>VLOOKUP(A35, Materias!A2:C527, 3, FALSE)</f>
        <v>4</v>
      </c>
      <c r="E35" s="43"/>
      <c r="F35" s="38"/>
      <c r="G35" s="39"/>
    </row>
    <row r="36" spans="1:7" ht="14.25" customHeight="1" x14ac:dyDescent="0.3">
      <c r="A36" s="37" t="s">
        <v>122</v>
      </c>
      <c r="B36" s="38"/>
      <c r="C36" s="39"/>
      <c r="D36" s="22">
        <f>VLOOKUP(A36, Materias!A2:C527, 3, FALSE)</f>
        <v>5</v>
      </c>
      <c r="E36" s="43"/>
      <c r="F36" s="38"/>
      <c r="G36" s="39"/>
    </row>
    <row r="37" spans="1:7" ht="14.25" customHeight="1" x14ac:dyDescent="0.3">
      <c r="A37" s="37" t="s">
        <v>123</v>
      </c>
      <c r="B37" s="38"/>
      <c r="C37" s="39"/>
      <c r="D37" s="22">
        <f>VLOOKUP(A37, Materias!A2:C527, 3, FALSE)</f>
        <v>4</v>
      </c>
      <c r="E37" s="43"/>
      <c r="F37" s="38"/>
      <c r="G37" s="39"/>
    </row>
    <row r="38" spans="1:7" ht="14.25" customHeight="1" x14ac:dyDescent="0.3">
      <c r="A38" s="37" t="s">
        <v>129</v>
      </c>
      <c r="B38" s="38"/>
      <c r="C38" s="39"/>
      <c r="D38" s="22">
        <f>VLOOKUP(A38, Materias!A2:C527, 3, FALSE)</f>
        <v>3</v>
      </c>
      <c r="E38" s="43"/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36</v>
      </c>
      <c r="E39" s="56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7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5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Docentes!$B$2:$B$100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3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451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130</v>
      </c>
      <c r="B30" s="38"/>
      <c r="C30" s="39"/>
      <c r="D30" s="22">
        <f>VLOOKUP(A30, Materias!A2:C527, 3, FALSE)</f>
        <v>8</v>
      </c>
      <c r="E30" s="43"/>
      <c r="F30" s="38"/>
      <c r="G30" s="39"/>
    </row>
    <row r="31" spans="1:7" ht="14.25" customHeight="1" x14ac:dyDescent="0.3">
      <c r="A31" s="37" t="s">
        <v>131</v>
      </c>
      <c r="B31" s="38"/>
      <c r="C31" s="39"/>
      <c r="D31" s="22">
        <f>VLOOKUP(A31, Materias!A2:C527, 3, FALSE)</f>
        <v>7</v>
      </c>
      <c r="E31" s="43"/>
      <c r="F31" s="38"/>
      <c r="G31" s="39"/>
    </row>
    <row r="32" spans="1:7" ht="14.25" customHeight="1" x14ac:dyDescent="0.3">
      <c r="A32" s="37" t="s">
        <v>132</v>
      </c>
      <c r="B32" s="38"/>
      <c r="C32" s="39"/>
      <c r="D32" s="22">
        <f>VLOOKUP(A32, Materias!A2:C527, 3, FALSE)</f>
        <v>8</v>
      </c>
      <c r="E32" s="43"/>
      <c r="F32" s="38"/>
      <c r="G32" s="39"/>
    </row>
    <row r="33" spans="1:7" ht="14.25" customHeight="1" x14ac:dyDescent="0.3">
      <c r="A33" s="37" t="s">
        <v>61</v>
      </c>
      <c r="B33" s="38"/>
      <c r="C33" s="39"/>
      <c r="D33" s="22">
        <f>VLOOKUP(A33, Materias!A2:C527, 3, FALSE)</f>
        <v>2</v>
      </c>
      <c r="E33" s="43"/>
      <c r="F33" s="38"/>
      <c r="G33" s="39"/>
    </row>
    <row r="34" spans="1:7" ht="14.25" customHeight="1" x14ac:dyDescent="0.3">
      <c r="A34" s="37" t="s">
        <v>63</v>
      </c>
      <c r="B34" s="38"/>
      <c r="C34" s="39"/>
      <c r="D34" s="22">
        <f>VLOOKUP(A34, Materias!A2:C527,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64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34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Docentes!$B$2:$B$70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137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141</v>
      </c>
      <c r="B30" s="38"/>
      <c r="C30" s="39"/>
      <c r="D30" s="22">
        <f>VLOOKUP(A30, Materias!A2:C207, 3, FALSE)</f>
        <v>3</v>
      </c>
      <c r="E30" s="43"/>
      <c r="F30" s="38"/>
      <c r="G30" s="39"/>
    </row>
    <row r="31" spans="1:7" ht="14.25" customHeight="1" x14ac:dyDescent="0.3">
      <c r="A31" s="37" t="s">
        <v>142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138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140</v>
      </c>
      <c r="B33" s="38"/>
      <c r="C33" s="39"/>
      <c r="D33" s="22">
        <f>VLOOKUP(A33, Materias!A2:C207, 3, FALSE)</f>
        <v>4</v>
      </c>
      <c r="E33" s="58"/>
      <c r="F33" s="38"/>
      <c r="G33" s="39"/>
    </row>
    <row r="34" spans="1:7" ht="14.25" customHeight="1" x14ac:dyDescent="0.3">
      <c r="A34" s="37" t="s">
        <v>139</v>
      </c>
      <c r="B34" s="38"/>
      <c r="C34" s="39"/>
      <c r="D34" s="22">
        <f>VLOOKUP(A34, Materias!A2:C207, 3, FALSE)</f>
        <v>4</v>
      </c>
      <c r="E34" s="43"/>
      <c r="F34" s="38"/>
      <c r="G34" s="39"/>
    </row>
    <row r="35" spans="1:7" ht="14.25" customHeight="1" x14ac:dyDescent="0.3">
      <c r="A35" s="37" t="s">
        <v>68</v>
      </c>
      <c r="B35" s="38"/>
      <c r="C35" s="39"/>
      <c r="D35" s="22">
        <f>VLOOKUP(A35, Materias!A3:C208,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143</v>
      </c>
      <c r="B36" s="38"/>
      <c r="C36" s="39"/>
      <c r="D36" s="22">
        <f>VLOOKUP(A36, Materias!A4:C209, 3, FALSE)</f>
        <v>3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6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7" t="s">
        <v>119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5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Docentes!$B$2:$B$208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452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148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147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145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76</v>
      </c>
      <c r="B33" s="38"/>
      <c r="C33" s="39"/>
      <c r="D33" s="22">
        <f>VLOOKUP(A33, Materias!A2:C207, 3, FALSE)</f>
        <v>4</v>
      </c>
      <c r="E33" s="58" t="s">
        <v>39</v>
      </c>
      <c r="F33" s="38"/>
      <c r="G33" s="39"/>
    </row>
    <row r="34" spans="1:7" ht="14.25" customHeight="1" x14ac:dyDescent="0.3">
      <c r="A34" s="37" t="s">
        <v>146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40" t="s">
        <v>48</v>
      </c>
      <c r="B35" s="38"/>
      <c r="C35" s="39"/>
      <c r="D35" s="21">
        <f>SUM(D30:D34)</f>
        <v>24</v>
      </c>
      <c r="E35" s="56"/>
      <c r="F35" s="38"/>
      <c r="G35" s="39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7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55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Docentes!$B$2:$B$208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453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148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147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145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76</v>
      </c>
      <c r="B33" s="38"/>
      <c r="C33" s="39"/>
      <c r="D33" s="22">
        <f>VLOOKUP(A33, Materias!A2:C207, 3, FALSE)</f>
        <v>4</v>
      </c>
      <c r="E33" s="58" t="s">
        <v>39</v>
      </c>
      <c r="F33" s="38"/>
      <c r="G33" s="39"/>
    </row>
    <row r="34" spans="1:7" ht="14.25" customHeight="1" x14ac:dyDescent="0.3">
      <c r="A34" s="37" t="s">
        <v>146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40" t="s">
        <v>48</v>
      </c>
      <c r="B35" s="38"/>
      <c r="C35" s="39"/>
      <c r="D35" s="21">
        <f>SUM(D30:D34)</f>
        <v>24</v>
      </c>
      <c r="E35" s="56"/>
      <c r="F35" s="38"/>
      <c r="G35" s="39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7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55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Docentes!$B$2:$B$208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A25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Docentes!$B$2:$B$208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Docentes!$B$2:$B$208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454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58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Materias!A2:C207,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Materias!A2:C207,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158</v>
      </c>
      <c r="F8" s="32"/>
      <c r="G8" s="32"/>
    </row>
    <row r="9" spans="1:7" ht="14.25" customHeight="1" x14ac:dyDescent="0.3">
      <c r="A9" s="41" t="s">
        <v>429</v>
      </c>
      <c r="B9" s="42"/>
      <c r="C9" s="47" t="s">
        <v>431</v>
      </c>
      <c r="D9" s="42"/>
      <c r="E9" s="42"/>
      <c r="F9" s="42"/>
      <c r="G9" s="48"/>
    </row>
    <row r="10" spans="1:7" ht="14.25" customHeight="1" x14ac:dyDescent="0.3">
      <c r="A10" s="49"/>
      <c r="B10" s="50"/>
      <c r="C10" s="50"/>
      <c r="D10" s="50"/>
      <c r="E10" s="50"/>
      <c r="F10" s="50"/>
      <c r="G10" s="51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2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3" t="s">
        <v>35</v>
      </c>
      <c r="B29" s="38"/>
      <c r="C29" s="39"/>
      <c r="D29" s="21" t="s">
        <v>36</v>
      </c>
      <c r="E29" s="54" t="s">
        <v>37</v>
      </c>
      <c r="F29" s="38"/>
      <c r="G29" s="39"/>
    </row>
    <row r="30" spans="1:7" ht="14.25" customHeight="1" x14ac:dyDescent="0.3">
      <c r="A30" s="37" t="s">
        <v>159</v>
      </c>
      <c r="B30" s="38"/>
      <c r="C30" s="39"/>
      <c r="D30" s="22">
        <f>VLOOKUP(A30, Materias!A2:C207, 3, FALSE)</f>
        <v>4</v>
      </c>
      <c r="E30" s="43"/>
      <c r="F30" s="38"/>
      <c r="G30" s="39"/>
    </row>
    <row r="31" spans="1:7" ht="14.25" customHeight="1" x14ac:dyDescent="0.3">
      <c r="A31" s="37" t="s">
        <v>160</v>
      </c>
      <c r="B31" s="38"/>
      <c r="C31" s="39"/>
      <c r="D31" s="22">
        <f>VLOOKUP(A31, Materias!A2:C207, 3, FALSE)</f>
        <v>7</v>
      </c>
      <c r="E31" s="43"/>
      <c r="F31" s="38"/>
      <c r="G31" s="39"/>
    </row>
    <row r="32" spans="1:7" ht="14.25" customHeight="1" x14ac:dyDescent="0.3">
      <c r="A32" s="37" t="s">
        <v>162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127</v>
      </c>
      <c r="B33" s="38"/>
      <c r="C33" s="39"/>
      <c r="D33" s="22">
        <f>VLOOKUP(A33, Materias!A2:C207, 3, FALSE)</f>
        <v>2</v>
      </c>
      <c r="E33" s="43"/>
      <c r="F33" s="38"/>
      <c r="G33" s="39"/>
    </row>
    <row r="34" spans="1:7" ht="14.25" customHeight="1" x14ac:dyDescent="0.3">
      <c r="A34" s="37" t="s">
        <v>161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163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26</v>
      </c>
      <c r="E36" s="56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7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5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0"/>
  <sheetViews>
    <sheetView topLeftCell="A50" workbookViewId="0">
      <selection activeCell="B70" sqref="B70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174</v>
      </c>
      <c r="C19" s="4" t="s">
        <v>170</v>
      </c>
      <c r="D19" s="4" t="s">
        <v>175</v>
      </c>
      <c r="E19" s="5"/>
      <c r="F19" s="5"/>
      <c r="G19" s="5"/>
    </row>
    <row r="20" spans="1:7" ht="14.25" customHeight="1" x14ac:dyDescent="0.3">
      <c r="A20" s="1">
        <v>19</v>
      </c>
      <c r="B20" s="4" t="s">
        <v>176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82</v>
      </c>
      <c r="C21" s="4" t="s">
        <v>170</v>
      </c>
      <c r="D21" s="4" t="s">
        <v>168</v>
      </c>
      <c r="E21" s="5"/>
      <c r="F21" s="5"/>
      <c r="G21" s="5"/>
    </row>
    <row r="22" spans="1:7" ht="14.25" customHeight="1" x14ac:dyDescent="0.3">
      <c r="A22" s="1">
        <v>21</v>
      </c>
      <c r="B22" s="4" t="s">
        <v>177</v>
      </c>
      <c r="C22" s="4" t="s">
        <v>170</v>
      </c>
      <c r="D22" s="4" t="s">
        <v>178</v>
      </c>
      <c r="E22" s="5"/>
      <c r="F22" s="5"/>
      <c r="G22" s="5"/>
    </row>
    <row r="23" spans="1:7" ht="14.25" customHeight="1" x14ac:dyDescent="0.3">
      <c r="A23" s="1">
        <v>22</v>
      </c>
      <c r="B23" s="4" t="s">
        <v>105</v>
      </c>
      <c r="C23" s="4" t="s">
        <v>170</v>
      </c>
      <c r="D23" s="4" t="s">
        <v>168</v>
      </c>
      <c r="E23" s="5"/>
      <c r="F23" s="5"/>
      <c r="G23" s="5"/>
    </row>
    <row r="24" spans="1:7" ht="14.25" customHeight="1" x14ac:dyDescent="0.3">
      <c r="A24" s="1">
        <v>23</v>
      </c>
      <c r="B24" s="4" t="s">
        <v>101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179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92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83</v>
      </c>
      <c r="C27" s="4" t="s">
        <v>170</v>
      </c>
      <c r="D27" s="4" t="s">
        <v>175</v>
      </c>
      <c r="E27" s="5"/>
      <c r="F27" s="5"/>
      <c r="G27" s="5"/>
    </row>
    <row r="28" spans="1:7" ht="14.25" customHeight="1" x14ac:dyDescent="0.3">
      <c r="A28" s="1">
        <v>27</v>
      </c>
      <c r="B28" s="4" t="s">
        <v>134</v>
      </c>
      <c r="C28" s="4" t="s">
        <v>170</v>
      </c>
      <c r="D28" s="4" t="s">
        <v>168</v>
      </c>
      <c r="E28" s="5"/>
      <c r="F28" s="5"/>
      <c r="G28" s="5"/>
    </row>
    <row r="29" spans="1:7" ht="14.25" customHeight="1" x14ac:dyDescent="0.3">
      <c r="A29" s="1">
        <v>28</v>
      </c>
      <c r="B29" s="4" t="s">
        <v>106</v>
      </c>
      <c r="C29" s="4" t="s">
        <v>170</v>
      </c>
      <c r="D29" s="4" t="s">
        <v>168</v>
      </c>
    </row>
    <row r="30" spans="1:7" ht="14.25" customHeight="1" x14ac:dyDescent="0.3">
      <c r="A30" s="1">
        <v>29</v>
      </c>
      <c r="B30" s="4" t="s">
        <v>42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97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180</v>
      </c>
      <c r="C32" s="4" t="s">
        <v>170</v>
      </c>
      <c r="D32" s="4" t="s">
        <v>172</v>
      </c>
    </row>
    <row r="33" spans="1:4" ht="14.25" customHeight="1" x14ac:dyDescent="0.3">
      <c r="A33" s="1">
        <v>32</v>
      </c>
      <c r="B33" s="4" t="s">
        <v>100</v>
      </c>
      <c r="C33" s="4" t="s">
        <v>170</v>
      </c>
      <c r="D33" s="4" t="s">
        <v>168</v>
      </c>
    </row>
    <row r="34" spans="1:4" ht="14.25" customHeight="1" x14ac:dyDescent="0.3">
      <c r="A34" s="1">
        <v>33</v>
      </c>
      <c r="B34" s="4" t="s">
        <v>91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109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181</v>
      </c>
      <c r="C36" s="4" t="s">
        <v>170</v>
      </c>
      <c r="D36" s="4" t="s">
        <v>182</v>
      </c>
    </row>
    <row r="37" spans="1:4" ht="14.25" customHeight="1" x14ac:dyDescent="0.3">
      <c r="A37" s="1">
        <v>36</v>
      </c>
      <c r="B37" s="4" t="s">
        <v>183</v>
      </c>
      <c r="C37" s="4" t="s">
        <v>170</v>
      </c>
      <c r="D37" s="4" t="s">
        <v>184</v>
      </c>
    </row>
    <row r="38" spans="1:4" ht="14.25" customHeight="1" x14ac:dyDescent="0.3">
      <c r="A38" s="1">
        <v>37</v>
      </c>
      <c r="B38" s="4" t="s">
        <v>150</v>
      </c>
      <c r="C38" s="4" t="s">
        <v>170</v>
      </c>
      <c r="D38" s="4" t="s">
        <v>178</v>
      </c>
    </row>
    <row r="39" spans="1:4" ht="14.25" customHeight="1" x14ac:dyDescent="0.3">
      <c r="A39" s="1">
        <v>38</v>
      </c>
      <c r="B39" s="4" t="s">
        <v>40</v>
      </c>
      <c r="C39" s="4" t="s">
        <v>170</v>
      </c>
      <c r="D39" s="4" t="s">
        <v>168</v>
      </c>
    </row>
    <row r="40" spans="1:4" ht="14.25" customHeight="1" x14ac:dyDescent="0.3">
      <c r="A40" s="1">
        <v>39</v>
      </c>
      <c r="B40" s="4" t="s">
        <v>108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72</v>
      </c>
      <c r="C41" s="4" t="s">
        <v>170</v>
      </c>
      <c r="D41" s="4" t="s">
        <v>185</v>
      </c>
    </row>
    <row r="42" spans="1:4" ht="14.25" customHeight="1" x14ac:dyDescent="0.3">
      <c r="A42" s="1">
        <v>41</v>
      </c>
      <c r="B42" s="4" t="s">
        <v>103</v>
      </c>
      <c r="C42" s="4" t="s">
        <v>170</v>
      </c>
      <c r="D42" s="4" t="s">
        <v>168</v>
      </c>
    </row>
    <row r="43" spans="1:4" ht="14.25" customHeight="1" x14ac:dyDescent="0.3">
      <c r="A43" s="1">
        <v>42</v>
      </c>
      <c r="B43" s="4" t="s">
        <v>43</v>
      </c>
      <c r="C43" s="4" t="s">
        <v>170</v>
      </c>
      <c r="D43" s="4" t="s">
        <v>186</v>
      </c>
    </row>
    <row r="44" spans="1:4" ht="14.25" customHeight="1" x14ac:dyDescent="0.3">
      <c r="A44" s="1">
        <v>43</v>
      </c>
      <c r="B44" s="4" t="s">
        <v>45</v>
      </c>
      <c r="C44" s="4" t="s">
        <v>170</v>
      </c>
      <c r="D44" s="4" t="s">
        <v>168</v>
      </c>
    </row>
    <row r="45" spans="1:4" ht="14.25" customHeight="1" x14ac:dyDescent="0.3">
      <c r="A45" s="1">
        <v>44</v>
      </c>
      <c r="B45" s="4" t="s">
        <v>187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98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188</v>
      </c>
      <c r="C47" s="4" t="s">
        <v>170</v>
      </c>
      <c r="D47" s="4" t="s">
        <v>189</v>
      </c>
    </row>
    <row r="48" spans="1:4" ht="14.25" customHeight="1" x14ac:dyDescent="0.3">
      <c r="A48" s="1">
        <v>47</v>
      </c>
      <c r="B48" s="4" t="s">
        <v>89</v>
      </c>
      <c r="C48" s="4" t="s">
        <v>170</v>
      </c>
      <c r="D48" s="4" t="s">
        <v>190</v>
      </c>
    </row>
    <row r="49" spans="1:4" ht="14.25" customHeight="1" x14ac:dyDescent="0.3">
      <c r="A49" s="1">
        <v>48</v>
      </c>
      <c r="B49" s="4" t="s">
        <v>191</v>
      </c>
      <c r="C49" s="4" t="s">
        <v>170</v>
      </c>
      <c r="D49" s="4" t="s">
        <v>192</v>
      </c>
    </row>
    <row r="50" spans="1:4" ht="14.25" customHeight="1" x14ac:dyDescent="0.3">
      <c r="A50" s="1">
        <v>49</v>
      </c>
      <c r="B50" s="4" t="s">
        <v>99</v>
      </c>
      <c r="C50" s="4" t="s">
        <v>170</v>
      </c>
      <c r="D50" s="4" t="s">
        <v>178</v>
      </c>
    </row>
    <row r="51" spans="1:4" ht="14.25" customHeight="1" x14ac:dyDescent="0.3">
      <c r="A51" s="1">
        <v>50</v>
      </c>
      <c r="B51" s="4" t="s">
        <v>193</v>
      </c>
      <c r="C51" s="4" t="s">
        <v>170</v>
      </c>
      <c r="D51" s="4" t="s">
        <v>172</v>
      </c>
    </row>
    <row r="52" spans="1:4" ht="14.25" customHeight="1" x14ac:dyDescent="0.3">
      <c r="A52" s="1">
        <v>51</v>
      </c>
      <c r="B52" s="4" t="s">
        <v>75</v>
      </c>
      <c r="C52" s="4" t="s">
        <v>170</v>
      </c>
      <c r="D52" s="4" t="s">
        <v>168</v>
      </c>
    </row>
    <row r="53" spans="1:4" ht="14.25" customHeight="1" x14ac:dyDescent="0.3">
      <c r="A53" s="1">
        <v>52</v>
      </c>
      <c r="B53" s="4" t="s">
        <v>102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144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73</v>
      </c>
      <c r="C55" s="4" t="s">
        <v>170</v>
      </c>
      <c r="D55" s="4" t="s">
        <v>175</v>
      </c>
    </row>
    <row r="56" spans="1:4" ht="14.25" customHeight="1" x14ac:dyDescent="0.3">
      <c r="A56" s="1">
        <v>55</v>
      </c>
      <c r="B56" s="4" t="s">
        <v>44</v>
      </c>
      <c r="C56" s="4" t="s">
        <v>170</v>
      </c>
      <c r="D56" s="4" t="s">
        <v>192</v>
      </c>
    </row>
    <row r="57" spans="1:4" ht="14.25" customHeight="1" x14ac:dyDescent="0.3">
      <c r="A57" s="1">
        <v>56</v>
      </c>
      <c r="B57" s="4" t="s">
        <v>194</v>
      </c>
      <c r="C57" s="4" t="s">
        <v>170</v>
      </c>
      <c r="D57" s="4" t="s">
        <v>184</v>
      </c>
    </row>
    <row r="58" spans="1:4" ht="14.25" customHeight="1" x14ac:dyDescent="0.3">
      <c r="A58" s="1">
        <v>57</v>
      </c>
      <c r="B58" s="4" t="s">
        <v>107</v>
      </c>
      <c r="C58" s="4" t="s">
        <v>170</v>
      </c>
      <c r="D58" s="4" t="s">
        <v>168</v>
      </c>
    </row>
    <row r="59" spans="1:4" ht="14.25" customHeight="1" x14ac:dyDescent="0.3">
      <c r="A59" s="1">
        <v>58</v>
      </c>
      <c r="B59" s="4" t="s">
        <v>94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195</v>
      </c>
      <c r="C60" s="4" t="s">
        <v>170</v>
      </c>
      <c r="D60" s="4" t="s">
        <v>192</v>
      </c>
    </row>
    <row r="61" spans="1:4" ht="14.25" customHeight="1" x14ac:dyDescent="0.3">
      <c r="A61" s="1">
        <v>60</v>
      </c>
      <c r="B61" s="4" t="s">
        <v>196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197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198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199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200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201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202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40</v>
      </c>
      <c r="C68" s="4" t="s">
        <v>170</v>
      </c>
      <c r="D68" s="4" t="s">
        <v>168</v>
      </c>
    </row>
    <row r="69" spans="1:4" ht="14.25" customHeight="1" x14ac:dyDescent="0.3">
      <c r="A69" s="1">
        <v>68</v>
      </c>
      <c r="B69" s="4" t="s">
        <v>47</v>
      </c>
      <c r="C69" s="4"/>
      <c r="D69" s="4"/>
    </row>
    <row r="70" spans="1:4" ht="14.25" customHeight="1" x14ac:dyDescent="0.3">
      <c r="A70" s="1">
        <v>69</v>
      </c>
      <c r="B70" s="4" t="s">
        <v>39</v>
      </c>
      <c r="C70" s="4"/>
      <c r="D70" s="4"/>
    </row>
    <row r="71" spans="1:4" ht="14.25" customHeight="1" x14ac:dyDescent="0.3">
      <c r="B71" s="4"/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</sheetData>
  <autoFilter ref="A1:D56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2025-03-09T14:40:03Z</dcterms:modified>
</cp:coreProperties>
</file>