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Diseño, Redes E IA\2025-2\"/>
    </mc:Choice>
  </mc:AlternateContent>
  <xr:revisionPtr revIDLastSave="0" documentId="13_ncr:1_{1D73EDCB-CE2B-4520-9343-523F93884823}" xr6:coauthVersionLast="47" xr6:coauthVersionMax="47" xr10:uidLastSave="{00000000-0000-0000-0000-000000000000}"/>
  <bookViews>
    <workbookView xWindow="11520" yWindow="0" windowWidth="11520" windowHeight="12360" firstSheet="8" activeTab="8" xr2:uid="{00000000-000D-0000-FFFF-FFFF00000000}"/>
  </bookViews>
  <sheets>
    <sheet name="BASTIDA MIRANDA JULIO" sheetId="1" r:id="rId1"/>
    <sheet name="CASAS GOMEZ VICTOR MANUEL" sheetId="2" r:id="rId2"/>
    <sheet name="DESCHAMPS SOLORZANO JOSÉ ALEJAN" sheetId="3" r:id="rId3"/>
    <sheet name="ESPINOSA JIMÉNEZ MARÍA MARGARIT" sheetId="4" r:id="rId4"/>
    <sheet name="GARCÍA ROMERO LUIS ÁNGEL" sheetId="5" r:id="rId5"/>
    <sheet name="HERNANDEZ JIMENEZ ARTURO" sheetId="6" r:id="rId6"/>
    <sheet name="HIDALGO BAEZA MARIA DEL CARMEN" sheetId="7" r:id="rId7"/>
    <sheet name="MARQUEZ SÁNCHEZ DANIEL MAURICIO" sheetId="8" r:id="rId8"/>
    <sheet name="MONDRAGON DIEGO JOSE LUIS" sheetId="9" r:id="rId9"/>
    <sheet name="MORENO LOAIZA CAROLINA" sheetId="10" r:id="rId10"/>
    <sheet name="OLMOS ZARIÑAN GRISELDA" sheetId="11" r:id="rId11"/>
    <sheet name="TELLEZ VELÁZQUEZ SERGIO" sheetId="12" r:id="rId12"/>
    <sheet name="z_1_PLANTILLA" sheetId="13" r:id="rId13"/>
    <sheet name="z_2_Maestros" sheetId="14" r:id="rId14"/>
    <sheet name="z_3_Materias" sheetId="15" r:id="rId15"/>
    <sheet name="z_4_FOR-DE LLENADO" sheetId="16" r:id="rId16"/>
    <sheet name="z_4_Materias2" sheetId="17" r:id="rId17"/>
  </sheets>
  <definedNames>
    <definedName name="_xlnm.Print_Area" localSheetId="0">'BASTIDA MIRANDA JULIO'!$A$1:$R$62</definedName>
    <definedName name="_xlnm.Print_Area" localSheetId="1">'CASAS GOMEZ VICTOR MANUEL'!$A$1:$R$62</definedName>
    <definedName name="_xlnm.Print_Area" localSheetId="2">'DESCHAMPS SOLORZANO JOSÉ ALEJAN'!$A$1:$R$62</definedName>
    <definedName name="_xlnm.Print_Area" localSheetId="3">'ESPINOSA JIMÉNEZ MARÍA MARGARIT'!$A$1:$R$62</definedName>
    <definedName name="_xlnm.Print_Area" localSheetId="4">'GARCÍA ROMERO LUIS ÁNGEL'!$A$1:$R$65</definedName>
    <definedName name="_xlnm.Print_Area" localSheetId="5">'HERNANDEZ JIMENEZ ARTURO'!$A$1:$R$62</definedName>
    <definedName name="_xlnm.Print_Area" localSheetId="6">'HIDALGO BAEZA MARIA DEL CARMEN'!$A$1:$R$62</definedName>
    <definedName name="_xlnm.Print_Area" localSheetId="7">'MARQUEZ SÁNCHEZ DANIEL MAURICIO'!$A$1:$R$62</definedName>
    <definedName name="_xlnm.Print_Area" localSheetId="8">'MONDRAGON DIEGO JOSE LUIS'!$A$1:$R$62</definedName>
    <definedName name="_xlnm.Print_Area" localSheetId="9">'MORENO LOAIZA CAROLINA'!$A$1:$R$62</definedName>
    <definedName name="_xlnm.Print_Area" localSheetId="10">'OLMOS ZARIÑAN GRISELDA'!$A$1:$R$62</definedName>
    <definedName name="_xlnm.Print_Area" localSheetId="11">'TELLEZ VELÁZQUEZ SERGIO'!$A$1:$R$65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l4azdfbV30rEytsJ+oMp+Qx0HGr9xiGTkvO0utcjxBw="/>
    </ext>
  </extLst>
</workbook>
</file>

<file path=xl/calcChain.xml><?xml version="1.0" encoding="utf-8"?>
<calcChain xmlns="http://schemas.openxmlformats.org/spreadsheetml/2006/main">
  <c r="L61" i="13" l="1"/>
  <c r="S18" i="13"/>
  <c r="M18" i="13" a="1"/>
  <c r="M18" i="13" s="1"/>
  <c r="K18" i="13" a="1"/>
  <c r="K18" i="13" s="1"/>
  <c r="S17" i="13"/>
  <c r="M17" i="13" a="1"/>
  <c r="M17" i="13" s="1"/>
  <c r="K17" i="13" a="1"/>
  <c r="K17" i="13" s="1"/>
  <c r="S16" i="13"/>
  <c r="M16" i="13" a="1"/>
  <c r="M16" i="13" s="1"/>
  <c r="K16" i="13" a="1"/>
  <c r="K16" i="13" s="1"/>
  <c r="S15" i="13"/>
  <c r="M15" i="13" a="1"/>
  <c r="M15" i="13" s="1"/>
  <c r="K15" i="13" a="1"/>
  <c r="K15" i="13" s="1"/>
  <c r="S14" i="13"/>
  <c r="M14" i="13" a="1"/>
  <c r="M14" i="13" s="1"/>
  <c r="Q14" i="13" s="1"/>
  <c r="Q38" i="13" s="1"/>
  <c r="K14" i="13" a="1"/>
  <c r="K14" i="13" s="1"/>
  <c r="L61" i="12"/>
  <c r="S18" i="12"/>
  <c r="S17" i="12"/>
  <c r="S16" i="12"/>
  <c r="M16" i="12" a="1"/>
  <c r="M16" i="12" s="1"/>
  <c r="K16" i="12" a="1"/>
  <c r="K16" i="12" s="1"/>
  <c r="S15" i="12"/>
  <c r="M15" i="12" a="1"/>
  <c r="M15" i="12" s="1"/>
  <c r="K15" i="12" a="1"/>
  <c r="K15" i="12" s="1"/>
  <c r="S14" i="12"/>
  <c r="M14" i="12" a="1"/>
  <c r="M14" i="12" s="1"/>
  <c r="K14" i="12" a="1"/>
  <c r="K14" i="12" s="1"/>
  <c r="L61" i="11"/>
  <c r="S18" i="11"/>
  <c r="M18" i="11" a="1"/>
  <c r="M18" i="11" s="1"/>
  <c r="K18" i="11" a="1"/>
  <c r="K18" i="11" s="1"/>
  <c r="S17" i="11"/>
  <c r="M17" i="11" a="1"/>
  <c r="M17" i="11" s="1"/>
  <c r="K17" i="11" a="1"/>
  <c r="K17" i="11" s="1"/>
  <c r="S16" i="11"/>
  <c r="M16" i="11" a="1"/>
  <c r="M16" i="11" s="1"/>
  <c r="K16" i="11" a="1"/>
  <c r="K16" i="11" s="1"/>
  <c r="S15" i="11"/>
  <c r="M15" i="11" a="1"/>
  <c r="M15" i="11" s="1"/>
  <c r="K15" i="11" a="1"/>
  <c r="K15" i="11" s="1"/>
  <c r="S14" i="11"/>
  <c r="M14" i="11" a="1"/>
  <c r="M14" i="11" s="1"/>
  <c r="K14" i="11" a="1"/>
  <c r="K14" i="11" s="1"/>
  <c r="L61" i="10"/>
  <c r="S18" i="10"/>
  <c r="M18" i="10" a="1"/>
  <c r="M18" i="10" s="1"/>
  <c r="K18" i="10" a="1"/>
  <c r="K18" i="10" s="1"/>
  <c r="S17" i="10"/>
  <c r="M17" i="10" a="1"/>
  <c r="M17" i="10" s="1"/>
  <c r="K17" i="10" a="1"/>
  <c r="K17" i="10" s="1"/>
  <c r="S16" i="10"/>
  <c r="M16" i="10" a="1"/>
  <c r="M16" i="10" s="1"/>
  <c r="K16" i="10" a="1"/>
  <c r="K16" i="10" s="1"/>
  <c r="S15" i="10"/>
  <c r="M15" i="10" a="1"/>
  <c r="M15" i="10" s="1"/>
  <c r="K15" i="10" a="1"/>
  <c r="K15" i="10" s="1"/>
  <c r="S14" i="10"/>
  <c r="M14" i="10" a="1"/>
  <c r="M14" i="10" s="1"/>
  <c r="K14" i="10" a="1"/>
  <c r="K14" i="10" s="1"/>
  <c r="L61" i="9"/>
  <c r="S18" i="9"/>
  <c r="M18" i="9" a="1"/>
  <c r="M18" i="9" s="1"/>
  <c r="K18" i="9" a="1"/>
  <c r="K18" i="9" s="1"/>
  <c r="S17" i="9"/>
  <c r="M17" i="9" a="1"/>
  <c r="M17" i="9" s="1"/>
  <c r="K17" i="9" a="1"/>
  <c r="K17" i="9" s="1"/>
  <c r="S16" i="9"/>
  <c r="M16" i="9" a="1"/>
  <c r="M16" i="9" s="1"/>
  <c r="K16" i="9" a="1"/>
  <c r="K16" i="9" s="1"/>
  <c r="S15" i="9"/>
  <c r="M15" i="9" a="1"/>
  <c r="M15" i="9" s="1"/>
  <c r="K15" i="9" a="1"/>
  <c r="K15" i="9" s="1"/>
  <c r="S14" i="9"/>
  <c r="M14" i="9" a="1"/>
  <c r="M14" i="9" s="1"/>
  <c r="K14" i="9" a="1"/>
  <c r="K14" i="9" s="1"/>
  <c r="L61" i="8"/>
  <c r="S18" i="8"/>
  <c r="M18" i="8" a="1"/>
  <c r="M18" i="8" s="1"/>
  <c r="K18" i="8" a="1"/>
  <c r="K18" i="8" s="1"/>
  <c r="S17" i="8"/>
  <c r="M17" i="8" a="1"/>
  <c r="M17" i="8" s="1"/>
  <c r="K17" i="8" a="1"/>
  <c r="K17" i="8" s="1"/>
  <c r="S16" i="8"/>
  <c r="M16" i="8" a="1"/>
  <c r="M16" i="8" s="1"/>
  <c r="K16" i="8" a="1"/>
  <c r="K16" i="8" s="1"/>
  <c r="S15" i="8"/>
  <c r="M15" i="8" a="1"/>
  <c r="M15" i="8" s="1"/>
  <c r="K15" i="8" a="1"/>
  <c r="K15" i="8" s="1"/>
  <c r="S14" i="8"/>
  <c r="M14" i="8" a="1"/>
  <c r="M14" i="8" s="1"/>
  <c r="K14" i="8" a="1"/>
  <c r="K14" i="8" s="1"/>
  <c r="L61" i="7"/>
  <c r="S18" i="7"/>
  <c r="M18" i="7" a="1"/>
  <c r="M18" i="7" s="1"/>
  <c r="K18" i="7" a="1"/>
  <c r="K18" i="7" s="1"/>
  <c r="S17" i="7"/>
  <c r="M17" i="7" a="1"/>
  <c r="M17" i="7" s="1"/>
  <c r="K17" i="7" a="1"/>
  <c r="K17" i="7" s="1"/>
  <c r="S16" i="7"/>
  <c r="M16" i="7" a="1"/>
  <c r="M16" i="7" s="1"/>
  <c r="K16" i="7" a="1"/>
  <c r="K16" i="7" s="1"/>
  <c r="S15" i="7"/>
  <c r="M15" i="7" a="1"/>
  <c r="M15" i="7" s="1"/>
  <c r="K15" i="7" a="1"/>
  <c r="K15" i="7" s="1"/>
  <c r="S14" i="7"/>
  <c r="M14" i="7" a="1"/>
  <c r="M14" i="7" s="1"/>
  <c r="K14" i="7" a="1"/>
  <c r="K14" i="7" s="1"/>
  <c r="L61" i="6"/>
  <c r="S18" i="6"/>
  <c r="M18" i="6" a="1"/>
  <c r="M18" i="6" s="1"/>
  <c r="K18" i="6" a="1"/>
  <c r="K18" i="6" s="1"/>
  <c r="S17" i="6"/>
  <c r="M17" i="6" a="1"/>
  <c r="M17" i="6" s="1"/>
  <c r="K17" i="6" a="1"/>
  <c r="K17" i="6" s="1"/>
  <c r="S16" i="6"/>
  <c r="M16" i="6" a="1"/>
  <c r="M16" i="6" s="1"/>
  <c r="K16" i="6" a="1"/>
  <c r="K16" i="6" s="1"/>
  <c r="S15" i="6"/>
  <c r="M15" i="6" a="1"/>
  <c r="M15" i="6" s="1"/>
  <c r="K15" i="6" a="1"/>
  <c r="K15" i="6" s="1"/>
  <c r="S14" i="6"/>
  <c r="M14" i="6" a="1"/>
  <c r="M14" i="6" s="1"/>
  <c r="K14" i="6" a="1"/>
  <c r="K14" i="6" s="1"/>
  <c r="L61" i="5"/>
  <c r="S18" i="5"/>
  <c r="S17" i="5"/>
  <c r="M17" i="5" a="1"/>
  <c r="M17" i="5" s="1"/>
  <c r="K17" i="5" a="1"/>
  <c r="K17" i="5" s="1"/>
  <c r="S16" i="5"/>
  <c r="M16" i="5" a="1"/>
  <c r="M16" i="5" s="1"/>
  <c r="K16" i="5" a="1"/>
  <c r="K16" i="5" s="1"/>
  <c r="S15" i="5"/>
  <c r="M15" i="5" a="1"/>
  <c r="M15" i="5" s="1"/>
  <c r="K15" i="5" a="1"/>
  <c r="K15" i="5" s="1"/>
  <c r="S14" i="5"/>
  <c r="M14" i="5" a="1"/>
  <c r="M14" i="5" s="1"/>
  <c r="K14" i="5" a="1"/>
  <c r="K14" i="5" s="1"/>
  <c r="L61" i="4"/>
  <c r="S18" i="4"/>
  <c r="M18" i="4" a="1"/>
  <c r="M18" i="4" s="1"/>
  <c r="K18" i="4" a="1"/>
  <c r="K18" i="4" s="1"/>
  <c r="S17" i="4"/>
  <c r="M17" i="4" a="1"/>
  <c r="M17" i="4" s="1"/>
  <c r="K17" i="4" a="1"/>
  <c r="K17" i="4" s="1"/>
  <c r="S16" i="4"/>
  <c r="M16" i="4" a="1"/>
  <c r="M16" i="4" s="1"/>
  <c r="K16" i="4" a="1"/>
  <c r="K16" i="4" s="1"/>
  <c r="S15" i="4"/>
  <c r="M15" i="4" a="1"/>
  <c r="M15" i="4" s="1"/>
  <c r="K15" i="4" a="1"/>
  <c r="K15" i="4" s="1"/>
  <c r="S14" i="4"/>
  <c r="M14" i="4" a="1"/>
  <c r="M14" i="4" s="1"/>
  <c r="K14" i="4" a="1"/>
  <c r="K14" i="4" s="1"/>
  <c r="L61" i="3"/>
  <c r="S18" i="3"/>
  <c r="M18" i="3" a="1"/>
  <c r="M18" i="3" s="1"/>
  <c r="K18" i="3" a="1"/>
  <c r="K18" i="3" s="1"/>
  <c r="S17" i="3"/>
  <c r="M17" i="3" a="1"/>
  <c r="M17" i="3" s="1"/>
  <c r="K17" i="3" a="1"/>
  <c r="K17" i="3" s="1"/>
  <c r="S16" i="3"/>
  <c r="M16" i="3" a="1"/>
  <c r="M16" i="3" s="1"/>
  <c r="K16" i="3" a="1"/>
  <c r="K16" i="3" s="1"/>
  <c r="S15" i="3"/>
  <c r="M15" i="3" a="1"/>
  <c r="M15" i="3" s="1"/>
  <c r="K15" i="3" a="1"/>
  <c r="K15" i="3" s="1"/>
  <c r="S14" i="3"/>
  <c r="M14" i="3" a="1"/>
  <c r="M14" i="3" s="1"/>
  <c r="K14" i="3" a="1"/>
  <c r="K14" i="3" s="1"/>
  <c r="L61" i="2"/>
  <c r="S18" i="2"/>
  <c r="M18" i="2" a="1"/>
  <c r="M18" i="2" s="1"/>
  <c r="K18" i="2" a="1"/>
  <c r="K18" i="2" s="1"/>
  <c r="S17" i="2"/>
  <c r="M17" i="2" a="1"/>
  <c r="M17" i="2" s="1"/>
  <c r="K17" i="2" a="1"/>
  <c r="K17" i="2" s="1"/>
  <c r="S16" i="2"/>
  <c r="M16" i="2" a="1"/>
  <c r="M16" i="2" s="1"/>
  <c r="K16" i="2" a="1"/>
  <c r="K16" i="2" s="1"/>
  <c r="S15" i="2"/>
  <c r="M15" i="2" a="1"/>
  <c r="M15" i="2" s="1"/>
  <c r="K15" i="2" a="1"/>
  <c r="K15" i="2" s="1"/>
  <c r="S14" i="2"/>
  <c r="M14" i="2" a="1"/>
  <c r="M14" i="2" s="1"/>
  <c r="K14" i="2" a="1"/>
  <c r="K14" i="2" s="1"/>
  <c r="L61" i="1"/>
  <c r="S18" i="1"/>
  <c r="M18" i="1" a="1"/>
  <c r="M18" i="1" s="1"/>
  <c r="K18" i="1" a="1"/>
  <c r="K18" i="1" s="1"/>
  <c r="S17" i="1"/>
  <c r="M17" i="1" a="1"/>
  <c r="M17" i="1" s="1"/>
  <c r="K17" i="1" a="1"/>
  <c r="K17" i="1" s="1"/>
  <c r="S16" i="1"/>
  <c r="M16" i="1" a="1"/>
  <c r="M16" i="1" s="1"/>
  <c r="K16" i="1" a="1"/>
  <c r="K16" i="1" s="1"/>
  <c r="S15" i="1"/>
  <c r="M15" i="1" a="1"/>
  <c r="M15" i="1" s="1"/>
  <c r="K15" i="1" a="1"/>
  <c r="K15" i="1" s="1"/>
  <c r="S14" i="1"/>
  <c r="M14" i="1" a="1"/>
  <c r="M14" i="1" s="1"/>
  <c r="K14" i="1" a="1"/>
  <c r="K14" i="1" s="1"/>
  <c r="Q14" i="2" l="1"/>
  <c r="Q38" i="2" s="1"/>
  <c r="Q14" i="11"/>
  <c r="Q38" i="11" s="1"/>
  <c r="Q14" i="3"/>
  <c r="Q38" i="3" s="1"/>
  <c r="Q14" i="1"/>
  <c r="Q38" i="1" s="1"/>
  <c r="Q14" i="8"/>
  <c r="Q38" i="8" s="1"/>
  <c r="Q14" i="6"/>
  <c r="Q38" i="6" s="1"/>
  <c r="Q14" i="7"/>
  <c r="Q38" i="7" s="1"/>
  <c r="Q14" i="10"/>
  <c r="Q38" i="10" s="1"/>
  <c r="Q14" i="12"/>
  <c r="Q38" i="12" s="1"/>
  <c r="Q14" i="9"/>
  <c r="Q38" i="9" s="1"/>
  <c r="Q14" i="4"/>
  <c r="Q38" i="4" s="1"/>
  <c r="Q14" i="5"/>
  <c r="Q38" i="5" s="1"/>
</calcChain>
</file>

<file path=xl/sharedStrings.xml><?xml version="1.0" encoding="utf-8"?>
<sst xmlns="http://schemas.openxmlformats.org/spreadsheetml/2006/main" count="1898" uniqueCount="448">
  <si>
    <t>UNIVERSIDAD TECNOLÓGICA FIDEL VELÁZQUEZ</t>
  </si>
  <si>
    <t>SECRETARÍA ACADÉMICA</t>
  </si>
  <si>
    <t xml:space="preserve">CARGA HORARIA PROFESOR DE TIEMPO COMPLETO </t>
  </si>
  <si>
    <t>NOMBRE DE LA DIVISIÓN:  DIVISIÓN ACADÉMICA DE DISEÑO, REDES E INTELIGENCIA ARTIFICIAL</t>
  </si>
  <si>
    <t>BASTIDA MIRANDA JULIO</t>
  </si>
  <si>
    <t>MAESTRÍA</t>
  </si>
  <si>
    <t xml:space="preserve">NOMBRE DEL PROFESOR O PROFESORA </t>
  </si>
  <si>
    <t>PROFESIÓN Y GRADO MÁXIMO DE ESTUDIOS</t>
  </si>
  <si>
    <t xml:space="preserve">DISTRIBUCIÓN DE HORAS AL CUATRIMESTRE </t>
  </si>
  <si>
    <t>1.DOCENCIA</t>
  </si>
  <si>
    <t>1.1 FRENTE A GRUPO</t>
  </si>
  <si>
    <t xml:space="preserve"> ASIGNATURA</t>
  </si>
  <si>
    <t>CLAVE</t>
  </si>
  <si>
    <t>GRUPO</t>
  </si>
  <si>
    <t>HORA /SEMANA/MES</t>
  </si>
  <si>
    <t>TOTAL DE HORAS/SEMANA/MES</t>
  </si>
  <si>
    <t>Cálculo Diferencial</t>
  </si>
  <si>
    <t>CD201</t>
  </si>
  <si>
    <t>IRD201</t>
  </si>
  <si>
    <t>IRD202</t>
  </si>
  <si>
    <t>IRD501</t>
  </si>
  <si>
    <t xml:space="preserve"> </t>
  </si>
  <si>
    <t>GRUPOS ASIGNADOS</t>
  </si>
  <si>
    <t>ENTREGABLE</t>
  </si>
  <si>
    <t>H/S/M</t>
  </si>
  <si>
    <t>1.2 TUTORÍA</t>
  </si>
  <si>
    <t>ACTIVIDADES</t>
  </si>
  <si>
    <t xml:space="preserve"> 1.3 ASESORÍA                              </t>
  </si>
  <si>
    <t>ENTREGABLE 18)</t>
  </si>
  <si>
    <t>2. VINCULACIÓN Y GESTIÓN ACADÉMICA</t>
  </si>
  <si>
    <t>3. TRANSFERENCIA DE TECNOLOGÍA</t>
  </si>
  <si>
    <t>GRAN TOTAL DE HORAS/SEMANA/MES</t>
  </si>
  <si>
    <t>HORARIO SEMANAL*24)</t>
  </si>
  <si>
    <t>DISTRIBUCIÓN DE HORAS</t>
  </si>
  <si>
    <t xml:space="preserve">LUNES </t>
  </si>
  <si>
    <t xml:space="preserve">MARTES </t>
  </si>
  <si>
    <t>MIERCOLES</t>
  </si>
  <si>
    <t>JUEVES</t>
  </si>
  <si>
    <t>VIERNES</t>
  </si>
  <si>
    <t>SÁBADO</t>
  </si>
  <si>
    <t>07:00 A 08:00</t>
  </si>
  <si>
    <t>08:00 A 09:00</t>
  </si>
  <si>
    <t>09:00 A 10:00</t>
  </si>
  <si>
    <t>10:00 A 11:00</t>
  </si>
  <si>
    <t>11:00 A 12:00</t>
  </si>
  <si>
    <t>12:00 A 13:00</t>
  </si>
  <si>
    <t>13:00 A 14:00</t>
  </si>
  <si>
    <t>14:00 A 15:00</t>
  </si>
  <si>
    <t>15:00 A 16:00</t>
  </si>
  <si>
    <t>16:00 A 17:00</t>
  </si>
  <si>
    <t>17:00 A 18:00</t>
  </si>
  <si>
    <t>18:00 A 19:00</t>
  </si>
  <si>
    <t>19:00 A 20:00</t>
  </si>
  <si>
    <t>20:00 A 21:00</t>
  </si>
  <si>
    <t>21:00 A 22:00</t>
  </si>
  <si>
    <t xml:space="preserve">FIRMA </t>
  </si>
  <si>
    <t>MTRO. OLIVER RAÚL VELÁZQUEZ TORRES</t>
  </si>
  <si>
    <t>NOMBRE Y FIRMA DE LA DIRECTORA O  EL DIRECTOR</t>
  </si>
  <si>
    <t xml:space="preserve">NOMBRE Y FIRMA DE LA  PROFESORA O  EL PROFESOR </t>
  </si>
  <si>
    <t>CASAS GÓMEZ VÍCTOR MANUEL</t>
  </si>
  <si>
    <t>Administración de Redes de Datos</t>
  </si>
  <si>
    <t>IRD502</t>
  </si>
  <si>
    <t>DESCHAMPS SOLORZANO JOSÉ ALEJANDRO</t>
  </si>
  <si>
    <t>Habilidades Socioemocionales y Manejo de Conflictos</t>
  </si>
  <si>
    <t>DAD203</t>
  </si>
  <si>
    <t>Mercadotecnia</t>
  </si>
  <si>
    <t>DAD206</t>
  </si>
  <si>
    <t>DAD204</t>
  </si>
  <si>
    <t>ESPINOSA JIMÉNEZ MARÍA MARGARITA</t>
  </si>
  <si>
    <t>DAD209</t>
  </si>
  <si>
    <t>DDA504</t>
  </si>
  <si>
    <t>DDA505</t>
  </si>
  <si>
    <t>Integradora II</t>
  </si>
  <si>
    <t>Tutoría</t>
  </si>
  <si>
    <t>GARCÍA ROMERO LUIS ÁNGEL</t>
  </si>
  <si>
    <t>DAD201</t>
  </si>
  <si>
    <t>Ilustración II</t>
  </si>
  <si>
    <t>DDA301</t>
  </si>
  <si>
    <t>HERNÁNDEZ JIMÉNEZ ARTURO</t>
  </si>
  <si>
    <t>Infraestructura de Centros de Datos</t>
  </si>
  <si>
    <t>IRICE701</t>
  </si>
  <si>
    <t>Gestión de La Seguridad Informática</t>
  </si>
  <si>
    <t>IRICE801</t>
  </si>
  <si>
    <t>HIDALGO BAEZA MARÍA DEL CARMEN</t>
  </si>
  <si>
    <t>Sistemas Operativos</t>
  </si>
  <si>
    <t>Administración de Servidores II</t>
  </si>
  <si>
    <t>MARQUEZ SÁNCHEZ DANIEL MAURICIO</t>
  </si>
  <si>
    <t>DAD202</t>
  </si>
  <si>
    <t>Asesoría especial</t>
  </si>
  <si>
    <t>MONDRAGÓN DIEGO JOSÉ LUIS</t>
  </si>
  <si>
    <t>Ciberseguridad</t>
  </si>
  <si>
    <t>MORENO LOAIZA CAROLINA</t>
  </si>
  <si>
    <t>Animación 2D Avanzada</t>
  </si>
  <si>
    <t>LDDPA801</t>
  </si>
  <si>
    <t>LDDPA802</t>
  </si>
  <si>
    <t>LDDPA803</t>
  </si>
  <si>
    <t>OLMOS ZARIÑAN GRISELDA</t>
  </si>
  <si>
    <t>Animación en 3D</t>
  </si>
  <si>
    <t>Modelado y Espacios Virtuales</t>
  </si>
  <si>
    <t>LDDPA901</t>
  </si>
  <si>
    <t>Animación de Personajes 3D</t>
  </si>
  <si>
    <t>LDDPA1001</t>
  </si>
  <si>
    <t>TELLEZ VELÁZQUEZ SERGIO</t>
  </si>
  <si>
    <t>Edición de Audio y Video</t>
  </si>
  <si>
    <t>DDA501</t>
  </si>
  <si>
    <t>DDA502</t>
  </si>
  <si>
    <t>DDA401</t>
  </si>
  <si>
    <t>DDA402</t>
  </si>
  <si>
    <t>DDA403</t>
  </si>
  <si>
    <t>id</t>
  </si>
  <si>
    <t>nombre</t>
  </si>
  <si>
    <t>cargo</t>
  </si>
  <si>
    <t>div</t>
  </si>
  <si>
    <t>PTC</t>
  </si>
  <si>
    <t>RT</t>
  </si>
  <si>
    <t>name</t>
  </si>
  <si>
    <t>codigo</t>
  </si>
  <si>
    <t>cuatri</t>
  </si>
  <si>
    <t>hsm</t>
  </si>
  <si>
    <t>Nuevo</t>
  </si>
  <si>
    <t>24CD002</t>
  </si>
  <si>
    <t>24CD003</t>
  </si>
  <si>
    <t>Física</t>
  </si>
  <si>
    <t>24CD004</t>
  </si>
  <si>
    <t>24CD005</t>
  </si>
  <si>
    <t>24CD006</t>
  </si>
  <si>
    <t>24CD007</t>
  </si>
  <si>
    <t>24CD009</t>
  </si>
  <si>
    <t>24CD010</t>
  </si>
  <si>
    <t>24CD011</t>
  </si>
  <si>
    <t>Probabilidad y Estadística</t>
  </si>
  <si>
    <t>24CD012</t>
  </si>
  <si>
    <t>24CD013</t>
  </si>
  <si>
    <t>24CD014</t>
  </si>
  <si>
    <t>24DAD002</t>
  </si>
  <si>
    <t>24DAD003</t>
  </si>
  <si>
    <t>24DAD004</t>
  </si>
  <si>
    <t>24DAD005</t>
  </si>
  <si>
    <t>24DAD006</t>
  </si>
  <si>
    <t>24DAD007</t>
  </si>
  <si>
    <t>24DAD009</t>
  </si>
  <si>
    <t>24DAD010</t>
  </si>
  <si>
    <t>24DAD011</t>
  </si>
  <si>
    <t>24DAD012</t>
  </si>
  <si>
    <t>24DAD013</t>
  </si>
  <si>
    <t>24DAD014</t>
  </si>
  <si>
    <t>Anterior</t>
  </si>
  <si>
    <t>Proceso Administrativo</t>
  </si>
  <si>
    <t>18DDA017</t>
  </si>
  <si>
    <t>Costos</t>
  </si>
  <si>
    <t>18DDA018</t>
  </si>
  <si>
    <t>18DDA019</t>
  </si>
  <si>
    <t>Fotografía Digital</t>
  </si>
  <si>
    <t>18DDA020</t>
  </si>
  <si>
    <t>18DDA021</t>
  </si>
  <si>
    <t>Software CAD</t>
  </si>
  <si>
    <t>18DDA022</t>
  </si>
  <si>
    <t>Formación Sociocultural III</t>
  </si>
  <si>
    <t>18DDA024</t>
  </si>
  <si>
    <t>18DDA025</t>
  </si>
  <si>
    <t>Animación en 2D</t>
  </si>
  <si>
    <t>18DDA026</t>
  </si>
  <si>
    <t>Guionismo y Storyboard</t>
  </si>
  <si>
    <t>18DDA027</t>
  </si>
  <si>
    <t>Prototipos</t>
  </si>
  <si>
    <t>18DDA028</t>
  </si>
  <si>
    <t>Integradora I</t>
  </si>
  <si>
    <t>18DDA029</t>
  </si>
  <si>
    <t>Proceso de Diseño</t>
  </si>
  <si>
    <t>18DDA030</t>
  </si>
  <si>
    <t>Diseño Editorial Digital</t>
  </si>
  <si>
    <t>18DDA031</t>
  </si>
  <si>
    <t>Formación Sociocultural IV</t>
  </si>
  <si>
    <t>18DDA033</t>
  </si>
  <si>
    <t>18DDA034</t>
  </si>
  <si>
    <t>18DDA035</t>
  </si>
  <si>
    <t>Imagen Digital Animada</t>
  </si>
  <si>
    <t>18DDA036</t>
  </si>
  <si>
    <t>18DDA037</t>
  </si>
  <si>
    <t>Inglés V</t>
  </si>
  <si>
    <t>18DDA038</t>
  </si>
  <si>
    <t>18DDA039</t>
  </si>
  <si>
    <t>Estadística</t>
  </si>
  <si>
    <t>20LDDPA001</t>
  </si>
  <si>
    <t>Semiótica y Hermenéutica</t>
  </si>
  <si>
    <t>20LDDPA002</t>
  </si>
  <si>
    <t>Mercadotecnia Digital</t>
  </si>
  <si>
    <t>20LDDPA003</t>
  </si>
  <si>
    <t>Metodología de Diseño</t>
  </si>
  <si>
    <t>20LDDPA004</t>
  </si>
  <si>
    <t>Estética Digital</t>
  </si>
  <si>
    <t>20LDDPA005</t>
  </si>
  <si>
    <t>Administración del Tiempo</t>
  </si>
  <si>
    <t>20LDDPA007</t>
  </si>
  <si>
    <t>Imagen Corporativa</t>
  </si>
  <si>
    <t>20LDDPA008</t>
  </si>
  <si>
    <t>Diseño de Interfaz Web</t>
  </si>
  <si>
    <t>20LDDPA009</t>
  </si>
  <si>
    <t>20LDDPA010</t>
  </si>
  <si>
    <t>Planeación y Organización del Trabajo</t>
  </si>
  <si>
    <t>20LDDPA012</t>
  </si>
  <si>
    <t>Proceso de Producción Audiovisual</t>
  </si>
  <si>
    <t>20LDDPA013</t>
  </si>
  <si>
    <t>Diseño Publicitario y Medios Digitales</t>
  </si>
  <si>
    <t>20LDDPA014</t>
  </si>
  <si>
    <t>Diseño Gráfico Experimental</t>
  </si>
  <si>
    <t>20LDDPA015</t>
  </si>
  <si>
    <t>20LDDPA016</t>
  </si>
  <si>
    <t>Inglés VIII</t>
  </si>
  <si>
    <t>20LDDPA017</t>
  </si>
  <si>
    <t>Dirección de Equipos de Alto Rendimiento</t>
  </si>
  <si>
    <t>20LDDPA018</t>
  </si>
  <si>
    <t>Gestión de Proyectos</t>
  </si>
  <si>
    <t>20LDDPA019</t>
  </si>
  <si>
    <t>Postproducción Audiovisual</t>
  </si>
  <si>
    <t>20LDDPA020</t>
  </si>
  <si>
    <t>20LDDPA021</t>
  </si>
  <si>
    <t>20LDDPA022</t>
  </si>
  <si>
    <t>Negociación Empresarial</t>
  </si>
  <si>
    <t>20LDDPA024</t>
  </si>
  <si>
    <t>24IRD002</t>
  </si>
  <si>
    <t>24IRD003</t>
  </si>
  <si>
    <t>24IRD004</t>
  </si>
  <si>
    <t>24IRD005</t>
  </si>
  <si>
    <t>24IRD006</t>
  </si>
  <si>
    <t>24IRD007</t>
  </si>
  <si>
    <t>24IRD009</t>
  </si>
  <si>
    <t>24IRD010</t>
  </si>
  <si>
    <t>24IRD011</t>
  </si>
  <si>
    <t>24IRD012</t>
  </si>
  <si>
    <t>24IRD013</t>
  </si>
  <si>
    <t>24IRD014</t>
  </si>
  <si>
    <t>18IRD017</t>
  </si>
  <si>
    <t>Conmutación de Redes de Datos</t>
  </si>
  <si>
    <t>18IRD018</t>
  </si>
  <si>
    <t>Infraestructura de Redes de Datos</t>
  </si>
  <si>
    <t>18IRD019</t>
  </si>
  <si>
    <t>18IRD020</t>
  </si>
  <si>
    <t>Aplicaciones Web</t>
  </si>
  <si>
    <t>18IRD021</t>
  </si>
  <si>
    <t>18IRD022</t>
  </si>
  <si>
    <t>18IRD024</t>
  </si>
  <si>
    <t>18IRD025</t>
  </si>
  <si>
    <t>Electrónica para IDC</t>
  </si>
  <si>
    <t>18IRD026</t>
  </si>
  <si>
    <t>Conexión de Redes Wan</t>
  </si>
  <si>
    <t>18IRD027</t>
  </si>
  <si>
    <t>Administración de Servidores I</t>
  </si>
  <si>
    <t>18IRD028</t>
  </si>
  <si>
    <t>Programación de Redes</t>
  </si>
  <si>
    <t>18IRD029</t>
  </si>
  <si>
    <t>18IRD031</t>
  </si>
  <si>
    <t>Introducción a Big Data</t>
  </si>
  <si>
    <t>18IRD032</t>
  </si>
  <si>
    <t>18IRD033</t>
  </si>
  <si>
    <t>18IRD034</t>
  </si>
  <si>
    <t>18IRD035</t>
  </si>
  <si>
    <t>18IRD036</t>
  </si>
  <si>
    <t>18IRD038</t>
  </si>
  <si>
    <t>Cálculo Integral</t>
  </si>
  <si>
    <t>20IRIC001</t>
  </si>
  <si>
    <t>Administración Avanzada de Infraestructura Virtualizada</t>
  </si>
  <si>
    <t>20IRIC002</t>
  </si>
  <si>
    <t>Tecnologias para Manejo Masivo de Datos</t>
  </si>
  <si>
    <t>20IRIC003</t>
  </si>
  <si>
    <t>20IRIC004</t>
  </si>
  <si>
    <t>20IRIC006</t>
  </si>
  <si>
    <t>Matemáticas para Ingeniería I</t>
  </si>
  <si>
    <t>20IRIC007</t>
  </si>
  <si>
    <t>20IRIC008</t>
  </si>
  <si>
    <t>Cómputo en la Nube</t>
  </si>
  <si>
    <t>20IRIC009</t>
  </si>
  <si>
    <t>Dirección de Proyectos I</t>
  </si>
  <si>
    <t>20IRIC010</t>
  </si>
  <si>
    <t>20IRIC012</t>
  </si>
  <si>
    <t>Hacking Ético</t>
  </si>
  <si>
    <t>20IRIC013</t>
  </si>
  <si>
    <t>Automatización de Infraestructura Digital I</t>
  </si>
  <si>
    <t>20IRIC014</t>
  </si>
  <si>
    <t>Dirección de Proyectos II</t>
  </si>
  <si>
    <t>20IRIC015</t>
  </si>
  <si>
    <t>Sistemas de Calidad para TI</t>
  </si>
  <si>
    <t>20IRIC016</t>
  </si>
  <si>
    <t>Optativa: Inteligencia de Negocios</t>
  </si>
  <si>
    <t>20IRIC017</t>
  </si>
  <si>
    <t>20IRIC019</t>
  </si>
  <si>
    <t>Informática Forense</t>
  </si>
  <si>
    <t>20IRIC020</t>
  </si>
  <si>
    <t>Automatización de Infraestructura Digital II</t>
  </si>
  <si>
    <t>20IRIC021</t>
  </si>
  <si>
    <t>Administración de Redes Empresariales</t>
  </si>
  <si>
    <t>20IRIC022</t>
  </si>
  <si>
    <t>Integradora</t>
  </si>
  <si>
    <t>20IRIC023</t>
  </si>
  <si>
    <t>20IRIC025</t>
  </si>
  <si>
    <t xml:space="preserve">FORMA DE LLENADO                              </t>
  </si>
  <si>
    <t>Revisión: 0</t>
  </si>
  <si>
    <t xml:space="preserve">Código: </t>
  </si>
  <si>
    <r>
      <rPr>
        <b/>
        <sz val="11"/>
        <color theme="1"/>
        <rFont val="Arial"/>
        <family val="2"/>
      </rPr>
      <t>Requerimiento ISO 9001:2015</t>
    </r>
    <r>
      <rPr>
        <sz val="11"/>
        <color theme="1"/>
        <rFont val="Arial"/>
        <family val="2"/>
      </rPr>
      <t>: 8.5.1</t>
    </r>
  </si>
  <si>
    <t>Fecha: 23-FEB-2023</t>
  </si>
  <si>
    <t>Página 1 de 1</t>
  </si>
  <si>
    <t>N°</t>
  </si>
  <si>
    <t>Descripción</t>
  </si>
  <si>
    <t>1</t>
  </si>
  <si>
    <t>Se anota el nombre completo de la División a la que pertenece el registro. Ejemplo: MANTENIMIENTO INDUSTRIAL,ELECTRICIDAD Y ELECTRÓNICA; ADMINISTRACIÓN; INFORMÁTICA; TECNOLOGÍA AMBIENTAL; CONTABILIDAD CORPORATIVA; TELEMÁTICA;  PROCESOS DE PRODUCCIÓN y CIENCIAS DE LA SALUD.</t>
  </si>
  <si>
    <t>2</t>
  </si>
  <si>
    <t>Se escribe el periodo cuatrimestral. Ejemplo: 2023-1 (ENERO-ABRIL) , 2023-2 (MAYO-AGOSTO), 2023-3  (SEPTIEMBRE-DICIEMBRE).</t>
  </si>
  <si>
    <t>3</t>
  </si>
  <si>
    <t>Se escribe la fecha en la que se establece la vigencia de la contratación según el periodo:  Del 01 de enero al 30 de abril , del  01 de mayo al 31 de agosto o del 01 de septiembre al 31 de diciembre, correspondiente al año en curso.</t>
  </si>
  <si>
    <t>4</t>
  </si>
  <si>
    <t>Se escribe el nombre completo del profesor o profesora de quien corresponde  la carga horaria. Ejemplo: JOSÉ ANTONIO HUERTA TORRES.</t>
  </si>
  <si>
    <t>5</t>
  </si>
  <si>
    <t>Se escribe la profesión y último grado de estudios obtenido de la profesora o el profesor de quién se elabora la Carga Horaria.  Ejemplo: Maestro en Ciencias en Ingeniería Química, Doctora en Ciencias de la Educación, etcétera siempre y cuando esté titulado y/o cuente con cédula profesional.</t>
  </si>
  <si>
    <t>6</t>
  </si>
  <si>
    <t>Se enlistan las nombres de las asignaturas que  la profesora o el profesor impartirá en el periodo cuatrimestral.</t>
  </si>
  <si>
    <t>7</t>
  </si>
  <si>
    <t>Se coloca la clave de la asignatura conforme al catálogo que presenta el Sistema de Administación Escolar.</t>
  </si>
  <si>
    <t>8</t>
  </si>
  <si>
    <t>Se enlistan los grupos a los cuales la profesora o  el profesor impartirá cada asignatura en el periodo cuatrimestral.</t>
  </si>
  <si>
    <t>9</t>
  </si>
  <si>
    <t>Se enlistan las horas/semana/mes en las que la profesora o  el profesor impartirá cada asignatura en el grupo correspondiente según el numeral 6.</t>
  </si>
  <si>
    <t>10</t>
  </si>
  <si>
    <t>Se escriben las horas subtotales por semana que  la profesora o  el profesor impartirá  frente a los grupos mencionados en el numeral 8.</t>
  </si>
  <si>
    <t>11</t>
  </si>
  <si>
    <t>Se escriben los grupos que se han asignado a la profesora o el profesor para impartir tutoria.</t>
  </si>
  <si>
    <t>12</t>
  </si>
  <si>
    <t>Se escriben los resultados o entregables tangibles para cada uno de los grupos de tutoria asignados a la profesora o  el profesor al concluir el cuatrimestre, ejemplo: Informe Final .</t>
  </si>
  <si>
    <t>13</t>
  </si>
  <si>
    <t>Número de horas/semana/mes subtotales  dedicadas por la profesora o el profesor a la impartición de tutorias.</t>
  </si>
  <si>
    <t>14</t>
  </si>
  <si>
    <t xml:space="preserve">Se enlistan las actividades asociadas a la asesoria impartida por la profesora o  el profesor (evaluacines especiales, estadias, remediales,regularización académica,eduación dual,  etcétera). </t>
  </si>
  <si>
    <t>15</t>
  </si>
  <si>
    <t>Se escriben los resultados o entregables tangibles para cada una de las actividades que se enlistan en el numeral 14 que la profesora o  el profesor tendrán en temas de asesoria, al concluir el cuatrimestre.</t>
  </si>
  <si>
    <t>16</t>
  </si>
  <si>
    <t>Número de horas/semana/mes  subtotales  dedicadas por  la profesora o  el profesor a la impartición de asesorias.</t>
  </si>
  <si>
    <t>17</t>
  </si>
  <si>
    <t>Se enlistan las actividades que la profesora o el profesor llevará a cabo en temas de vinculación y gestión académica, que desarrollará en el transcurso del cuatrimestre.  
1.	Gestión de proyectos vinculados a algún sector 
2.	Gestión de proyectos a desarrollar en el Centro de Cooperación Academia Industria.
3.	Participación en programas de Educación Continua (Certificaciones otorgadas por el CONOCER) o participación en la impartición de algún estándar de competencia.
4.	Participación en Cuerpo Colegiado institucional o externo.
5.	Participación como auditor o par evaluador institucional o externo comisionado por la institución.
6.	Organización y/o participación en eventos académicos o concursos.                                                                                                                                                                                                                                                                                                                                            Participar en tareas de actividad institucional: Coordinación / supervisión de actividades académicas.</t>
  </si>
  <si>
    <t>18</t>
  </si>
  <si>
    <t>Se escriben los los resultados o entregables tangibles para cada una de las actividades enlistadas en el numeral 17 que la profesora o  el profesor llevará a cabo en temas de vinculación y gestión académica, al concluir el cuatrimestre.</t>
  </si>
  <si>
    <t>19</t>
  </si>
  <si>
    <t>Número de horas/semana/mes  subtotales dedicadas por la profesora o  el profesor a la vinculación y gestión académica.</t>
  </si>
  <si>
    <t>20</t>
  </si>
  <si>
    <t>Se enlistan las actividades que la profesora o el profesor llevará a cabo en temas de transferencia de tecnología, en el transcurso del  cuatrimestre:
1.	Dirección y /o desarrollo de proyectos 
2.	Participación en el desarrollo o implementación de líneas de investigación; Perfil Deseable; redes de Investigación.
3.	Participación en la publicación de artículos en las áreas de ciencia, social, y tecnología; congresos; publicaciones en revistas científicas, tecnológicas o sociales; publicación de libros o artículos con registro ISB, ISSN, DOIT entre otros.</t>
  </si>
  <si>
    <t>21</t>
  </si>
  <si>
    <t>Se escriben  los resultados o entregables tangibles para cada una de las actividades enlistadas en el nuneral 20 que la profesora o  el profesor llevarán a cabo en temas de transferencia de tecnología, al concluir el cuatrimestre.</t>
  </si>
  <si>
    <t>22</t>
  </si>
  <si>
    <t>Número de horas/semana/mes  subtotales dedicadas por la profesora o  el profesor a la Transferencia de tecnología.</t>
  </si>
  <si>
    <t>23</t>
  </si>
  <si>
    <t xml:space="preserve">Se escribe la sumatoria gran total de horas/semana/mes </t>
  </si>
  <si>
    <t>24</t>
  </si>
  <si>
    <t>Se escribe el horario semanal de la profesora o  el profesor con  la clave de la asignatura conforme al catálogo del Sistema de Asignaturas y el aula o espacio  asignado.</t>
  </si>
  <si>
    <t>25</t>
  </si>
  <si>
    <t xml:space="preserve">Firma del Director o de la Directora de División </t>
  </si>
  <si>
    <t>26</t>
  </si>
  <si>
    <t>Firma de la Profesora o el Profesor de Tiempo Completo.</t>
  </si>
  <si>
    <t>Actualización de planes de estudio</t>
  </si>
  <si>
    <t>Cuerpo Académico</t>
  </si>
  <si>
    <t>Preparación  de  clases,  elaboración  de  material  didáctico,  revisión  de  tareas  y 
corrección de exámenes</t>
  </si>
  <si>
    <t>Coordinadora de Tutorías</t>
  </si>
  <si>
    <t>IRICE802</t>
  </si>
  <si>
    <t>DOCTORADO</t>
  </si>
  <si>
    <t>Tecnologías y Desarrollo de Producto Grafico</t>
  </si>
  <si>
    <t>Tecnologías Alternativas de Impresión</t>
  </si>
  <si>
    <t>TG-501</t>
  </si>
  <si>
    <t>Sistema Offset</t>
  </si>
  <si>
    <t>DAD101</t>
  </si>
  <si>
    <t>PERIODO CUATRIMESTRAL:  (MAYO - AGOSTO 2025) 2025-2</t>
  </si>
  <si>
    <t>VIGENCIA A PARTIR DE:  01/05/2025 AL 30/08/2025</t>
  </si>
  <si>
    <t>Desarrollo Humano y Valores.</t>
  </si>
  <si>
    <t>Fundamentos Matemáticos.</t>
  </si>
  <si>
    <t>Física.</t>
  </si>
  <si>
    <t>Fundamentos de Algoritmos.</t>
  </si>
  <si>
    <t>Introducción a la Ingeniería de Datos.</t>
  </si>
  <si>
    <t>Comunicación y Habilidades Digitales.</t>
  </si>
  <si>
    <t>Habilidades Socioemocionales y Manejo de Conflictos.</t>
  </si>
  <si>
    <t>Cálculo Diferencial.</t>
  </si>
  <si>
    <t>Programación.</t>
  </si>
  <si>
    <t>Probabilidad y Estadística.</t>
  </si>
  <si>
    <t>Matemáticas Discretas.</t>
  </si>
  <si>
    <t>Arquitectura de Computadoras y Servidores.</t>
  </si>
  <si>
    <t>Desarrollo del Pensamiento y Toma de Decisiones*</t>
  </si>
  <si>
    <t>24CD016</t>
  </si>
  <si>
    <t>Cálculo Integral*</t>
  </si>
  <si>
    <t>24CD017</t>
  </si>
  <si>
    <t>Estructura de Datos*</t>
  </si>
  <si>
    <t>24CD018</t>
  </si>
  <si>
    <t>Procesamiento de Datos*</t>
  </si>
  <si>
    <t>24CD019</t>
  </si>
  <si>
    <t>Modelos Estadísticos*</t>
  </si>
  <si>
    <t>24CD020</t>
  </si>
  <si>
    <t>Proyecto Integrador I*</t>
  </si>
  <si>
    <t>24CD021</t>
  </si>
  <si>
    <t>Desarrollo Humano y Valores._</t>
  </si>
  <si>
    <t>Fundamentos Matemáticos._</t>
  </si>
  <si>
    <t>Fundamentos de Diseño y del Lenguaje Visual._</t>
  </si>
  <si>
    <t>Representación Visual._</t>
  </si>
  <si>
    <t>Comunicación Gráfica._</t>
  </si>
  <si>
    <t>Comunicación y Habilidades Digitales._</t>
  </si>
  <si>
    <t>Habilidades Socioemocionales y Manejo de Conflictos._</t>
  </si>
  <si>
    <t>Geometría Descriptiva.</t>
  </si>
  <si>
    <t>Ilustración Digital.</t>
  </si>
  <si>
    <t>Modelado Manual.</t>
  </si>
  <si>
    <t>Representación Geométrica.</t>
  </si>
  <si>
    <t>Mercadotecnia.</t>
  </si>
  <si>
    <t>Desarrollo del Pensamiento y Toma de Decisiones**</t>
  </si>
  <si>
    <t>24DAD016</t>
  </si>
  <si>
    <t>Prototipos y Software 3D**</t>
  </si>
  <si>
    <t>24DAD017</t>
  </si>
  <si>
    <t>Ilustración para Animación**</t>
  </si>
  <si>
    <t>24DAD018</t>
  </si>
  <si>
    <t>Proceso de Diseño**</t>
  </si>
  <si>
    <t>24DAD019</t>
  </si>
  <si>
    <t>Guionismo y Storyboard**</t>
  </si>
  <si>
    <t>24DAD020</t>
  </si>
  <si>
    <t>Proyecto Integrador I**</t>
  </si>
  <si>
    <t>24DAD021</t>
  </si>
  <si>
    <t>Expresión Oral y Escrita II_</t>
  </si>
  <si>
    <t>Fundamentos de Redes.</t>
  </si>
  <si>
    <t>Fundamentos de Programación.</t>
  </si>
  <si>
    <t>Conmutación y Enrutamiento de Redes.</t>
  </si>
  <si>
    <t>Programación Estructurada.</t>
  </si>
  <si>
    <t>Sistemas Operativos.</t>
  </si>
  <si>
    <t>Desarrollo del Pensamiento y Toma de Decisiones_</t>
  </si>
  <si>
    <t>24IRD016</t>
  </si>
  <si>
    <t>Cálculo Integral_</t>
  </si>
  <si>
    <t>24IRD017</t>
  </si>
  <si>
    <t>Tópicos de Calidad para el Diseño de Software_</t>
  </si>
  <si>
    <t>24IRD018</t>
  </si>
  <si>
    <t>Bases de Datos_</t>
  </si>
  <si>
    <t>24IRD019</t>
  </si>
  <si>
    <t>Programación Orientada a Objetos_</t>
  </si>
  <si>
    <t>24IRD020</t>
  </si>
  <si>
    <t>Proyecto Integrador I_</t>
  </si>
  <si>
    <t>24IRD021</t>
  </si>
  <si>
    <t>Expresión Oral y Escrita II °</t>
  </si>
  <si>
    <t>Administración del Tiempo_*</t>
  </si>
  <si>
    <t>Planeación y Organización del Trabajo_*</t>
  </si>
  <si>
    <t>CD301</t>
  </si>
  <si>
    <t>IRD301</t>
  </si>
  <si>
    <t>IRD302</t>
  </si>
  <si>
    <t>Cálculo Integral* CD301</t>
  </si>
  <si>
    <t>Cálculo Integral_ IRD302</t>
  </si>
  <si>
    <t>Cálculo Integral_ IRD301</t>
  </si>
  <si>
    <t>Proyecto Integrador I_ IRD301</t>
  </si>
  <si>
    <t>Bases de Datos_ IRD302</t>
  </si>
  <si>
    <t>Bases de Datos_ IRD301</t>
  </si>
  <si>
    <t>Proyecto Integrador I* CD301</t>
  </si>
  <si>
    <t>Proyecto Integrador I_ IRD302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</si>
</sst>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Calibri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9"/>
      <color rgb="FF000000"/>
      <name val="Calibri"/>
      <family val="2"/>
    </font>
    <font>
      <sz val="18"/>
      <color theme="1"/>
      <name val="Arial"/>
      <family val="2"/>
    </font>
    <font>
      <b/>
      <sz val="8"/>
      <color theme="1"/>
      <name val="Arial"/>
      <family val="2"/>
    </font>
    <font>
      <sz val="14"/>
      <color rgb="FF000000"/>
      <name val="Calibri"/>
      <family val="2"/>
    </font>
    <font>
      <b/>
      <sz val="16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46"/>
  </cellStyleXfs>
  <cellXfs count="210">
    <xf numFmtId="0" fontId="0" fillId="0" borderId="0" xfId="0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1" fillId="2" borderId="12" xfId="0" applyFont="1" applyFill="1" applyBorder="1"/>
    <xf numFmtId="0" fontId="8" fillId="0" borderId="0" xfId="0" applyFont="1"/>
    <xf numFmtId="0" fontId="12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5" fillId="0" borderId="0" xfId="0" applyFont="1"/>
    <xf numFmtId="0" fontId="10" fillId="0" borderId="23" xfId="0" applyFont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49" fontId="13" fillId="0" borderId="29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6" fillId="0" borderId="0" xfId="0" applyFont="1"/>
    <xf numFmtId="0" fontId="8" fillId="0" borderId="0" xfId="0" applyFont="1" applyAlignment="1">
      <alignment horizontal="center"/>
    </xf>
    <xf numFmtId="0" fontId="17" fillId="0" borderId="0" xfId="0" applyFont="1"/>
    <xf numFmtId="0" fontId="8" fillId="0" borderId="0" xfId="0" applyFont="1" applyAlignment="1">
      <alignment horizontal="center" wrapText="1"/>
    </xf>
    <xf numFmtId="49" fontId="1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/>
    <xf numFmtId="49" fontId="5" fillId="0" borderId="0" xfId="0" applyNumberFormat="1" applyFont="1"/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19" xfId="0" applyFont="1" applyBorder="1" applyAlignment="1">
      <alignment horizontal="center" vertical="center" wrapText="1"/>
    </xf>
    <xf numFmtId="49" fontId="13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9" fontId="25" fillId="0" borderId="0" xfId="0" applyNumberFormat="1" applyFont="1" applyAlignment="1">
      <alignment vertical="center" wrapText="1"/>
    </xf>
    <xf numFmtId="0" fontId="26" fillId="3" borderId="44" xfId="0" applyFont="1" applyFill="1" applyBorder="1"/>
    <xf numFmtId="0" fontId="26" fillId="3" borderId="45" xfId="0" applyFont="1" applyFill="1" applyBorder="1"/>
    <xf numFmtId="0" fontId="26" fillId="3" borderId="48" xfId="0" applyFont="1" applyFill="1" applyBorder="1"/>
    <xf numFmtId="49" fontId="27" fillId="3" borderId="44" xfId="0" applyNumberFormat="1" applyFont="1" applyFill="1" applyBorder="1" applyAlignment="1">
      <alignment horizontal="center" vertical="center" wrapText="1"/>
    </xf>
    <xf numFmtId="49" fontId="28" fillId="3" borderId="49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vertical="center" wrapText="1"/>
    </xf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0" fontId="7" fillId="0" borderId="0" xfId="0" applyFont="1" applyAlignment="1">
      <alignment horizontal="center"/>
    </xf>
    <xf numFmtId="49" fontId="16" fillId="0" borderId="0" xfId="0" applyNumberFormat="1" applyFont="1"/>
    <xf numFmtId="0" fontId="7" fillId="0" borderId="0" xfId="0" applyFont="1" applyAlignment="1">
      <alignment wrapText="1"/>
    </xf>
    <xf numFmtId="0" fontId="20" fillId="0" borderId="0" xfId="0" applyFont="1"/>
    <xf numFmtId="0" fontId="7" fillId="0" borderId="46" xfId="0" applyFont="1" applyBorder="1" applyAlignment="1">
      <alignment horizontal="center"/>
    </xf>
    <xf numFmtId="0" fontId="20" fillId="0" borderId="46" xfId="0" applyFont="1" applyBorder="1"/>
    <xf numFmtId="0" fontId="1" fillId="0" borderId="0" xfId="0" applyFont="1"/>
    <xf numFmtId="49" fontId="7" fillId="0" borderId="0" xfId="0" applyNumberFormat="1" applyFont="1" applyAlignment="1">
      <alignment horizontal="center" vertical="center"/>
    </xf>
    <xf numFmtId="0" fontId="0" fillId="0" borderId="0" xfId="0"/>
    <xf numFmtId="49" fontId="7" fillId="0" borderId="33" xfId="0" applyNumberFormat="1" applyFont="1" applyBorder="1" applyAlignment="1">
      <alignment horizontal="center"/>
    </xf>
    <xf numFmtId="0" fontId="6" fillId="0" borderId="33" xfId="0" applyFont="1" applyBorder="1"/>
    <xf numFmtId="0" fontId="7" fillId="0" borderId="33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16" fontId="7" fillId="0" borderId="29" xfId="0" applyNumberFormat="1" applyFont="1" applyBorder="1" applyAlignment="1">
      <alignment horizontal="center" vertical="center"/>
    </xf>
    <xf numFmtId="0" fontId="6" fillId="0" borderId="30" xfId="0" applyFont="1" applyBorder="1"/>
    <xf numFmtId="0" fontId="6" fillId="0" borderId="31" xfId="0" applyFont="1" applyBorder="1"/>
    <xf numFmtId="0" fontId="7" fillId="0" borderId="29" xfId="0" applyFont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6" fillId="5" borderId="31" xfId="0" applyFont="1" applyFill="1" applyBorder="1"/>
    <xf numFmtId="0" fontId="7" fillId="6" borderId="29" xfId="0" applyFont="1" applyFill="1" applyBorder="1" applyAlignment="1">
      <alignment horizontal="center" vertical="center" wrapText="1"/>
    </xf>
    <xf numFmtId="0" fontId="6" fillId="6" borderId="31" xfId="0" applyFont="1" applyFill="1" applyBorder="1"/>
    <xf numFmtId="0" fontId="7" fillId="5" borderId="44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45" xfId="0" applyFont="1" applyFill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22" xfId="0" applyFont="1" applyBorder="1"/>
    <xf numFmtId="49" fontId="13" fillId="0" borderId="29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6" fillId="0" borderId="34" xfId="0" applyFont="1" applyBorder="1"/>
    <xf numFmtId="0" fontId="5" fillId="0" borderId="20" xfId="0" applyFont="1" applyBorder="1" applyAlignment="1">
      <alignment horizontal="left" vertical="center" wrapText="1"/>
    </xf>
    <xf numFmtId="49" fontId="32" fillId="0" borderId="64" xfId="1" applyNumberFormat="1" applyFont="1" applyBorder="1" applyAlignment="1">
      <alignment horizontal="center" vertical="center" wrapText="1"/>
    </xf>
    <xf numFmtId="49" fontId="32" fillId="0" borderId="65" xfId="1" applyNumberFormat="1" applyFont="1" applyBorder="1" applyAlignment="1">
      <alignment horizontal="center" vertical="center" wrapText="1"/>
    </xf>
    <xf numFmtId="49" fontId="32" fillId="0" borderId="66" xfId="1" applyNumberFormat="1" applyFont="1" applyBorder="1" applyAlignment="1">
      <alignment horizontal="center" vertical="center" wrapText="1"/>
    </xf>
    <xf numFmtId="49" fontId="32" fillId="0" borderId="54" xfId="1" applyNumberFormat="1" applyFont="1" applyBorder="1" applyAlignment="1">
      <alignment horizontal="center" vertical="center" wrapText="1"/>
    </xf>
    <xf numFmtId="49" fontId="32" fillId="0" borderId="55" xfId="1" applyNumberFormat="1" applyFont="1" applyBorder="1" applyAlignment="1">
      <alignment horizontal="center" vertical="center" wrapText="1"/>
    </xf>
    <xf numFmtId="49" fontId="32" fillId="0" borderId="63" xfId="1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7" xfId="0" applyFont="1" applyBorder="1"/>
    <xf numFmtId="0" fontId="6" fillId="0" borderId="28" xfId="0" applyFont="1" applyBorder="1"/>
    <xf numFmtId="49" fontId="13" fillId="0" borderId="20" xfId="0" applyNumberFormat="1" applyFont="1" applyBorder="1" applyAlignment="1">
      <alignment horizontal="center" vertical="center" wrapText="1"/>
    </xf>
    <xf numFmtId="0" fontId="6" fillId="0" borderId="37" xfId="0" applyFont="1" applyBorder="1"/>
    <xf numFmtId="49" fontId="32" fillId="0" borderId="67" xfId="1" applyNumberFormat="1" applyFont="1" applyBorder="1" applyAlignment="1">
      <alignment horizontal="center" vertical="center" wrapText="1"/>
    </xf>
    <xf numFmtId="49" fontId="32" fillId="0" borderId="68" xfId="1" applyNumberFormat="1" applyFont="1" applyBorder="1" applyAlignment="1">
      <alignment horizontal="center" vertical="center" wrapText="1"/>
    </xf>
    <xf numFmtId="49" fontId="32" fillId="0" borderId="69" xfId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6" xfId="0" applyFont="1" applyBorder="1"/>
    <xf numFmtId="0" fontId="6" fillId="0" borderId="4" xfId="0" applyFont="1" applyBorder="1"/>
    <xf numFmtId="0" fontId="6" fillId="0" borderId="38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40" xfId="0" applyFont="1" applyBorder="1"/>
    <xf numFmtId="0" fontId="13" fillId="0" borderId="1" xfId="0" applyFont="1" applyBorder="1" applyAlignment="1">
      <alignment horizontal="center" vertical="center" wrapText="1"/>
    </xf>
    <xf numFmtId="49" fontId="32" fillId="0" borderId="57" xfId="1" applyNumberFormat="1" applyFont="1" applyBorder="1" applyAlignment="1">
      <alignment horizontal="center" vertical="center" wrapText="1"/>
    </xf>
    <xf numFmtId="49" fontId="32" fillId="0" borderId="58" xfId="1" applyNumberFormat="1" applyFont="1" applyBorder="1" applyAlignment="1">
      <alignment horizontal="center" vertical="center" wrapText="1"/>
    </xf>
    <xf numFmtId="49" fontId="32" fillId="0" borderId="59" xfId="1" applyNumberFormat="1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5" xfId="0" applyFont="1" applyBorder="1"/>
    <xf numFmtId="0" fontId="6" fillId="0" borderId="8" xfId="0" applyFont="1" applyBorder="1"/>
    <xf numFmtId="49" fontId="13" fillId="0" borderId="16" xfId="0" applyNumberFormat="1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18" xfId="0" applyFont="1" applyBorder="1"/>
    <xf numFmtId="0" fontId="13" fillId="0" borderId="16" xfId="0" applyFont="1" applyBorder="1" applyAlignment="1">
      <alignment horizontal="center" vertical="center" wrapText="1"/>
    </xf>
    <xf numFmtId="49" fontId="32" fillId="0" borderId="60" xfId="1" applyNumberFormat="1" applyFont="1" applyBorder="1" applyAlignment="1">
      <alignment horizontal="center" vertical="center" wrapText="1"/>
    </xf>
    <xf numFmtId="49" fontId="32" fillId="0" borderId="61" xfId="1" applyNumberFormat="1" applyFont="1" applyBorder="1" applyAlignment="1">
      <alignment horizontal="center" vertical="center" wrapText="1"/>
    </xf>
    <xf numFmtId="49" fontId="32" fillId="0" borderId="62" xfId="1" applyNumberFormat="1" applyFont="1" applyBorder="1" applyAlignment="1">
      <alignment horizontal="center" vertical="center" wrapText="1"/>
    </xf>
    <xf numFmtId="49" fontId="13" fillId="0" borderId="26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5" xfId="0" applyNumberFormat="1" applyFont="1" applyBorder="1" applyAlignment="1">
      <alignment horizontal="center" vertical="center" wrapText="1"/>
    </xf>
    <xf numFmtId="0" fontId="6" fillId="0" borderId="35" xfId="0" applyFont="1" applyBorder="1"/>
    <xf numFmtId="0" fontId="6" fillId="0" borderId="25" xfId="0" applyFont="1" applyBorder="1"/>
    <xf numFmtId="49" fontId="13" fillId="0" borderId="24" xfId="0" applyNumberFormat="1" applyFont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1" wrapText="1"/>
    </xf>
    <xf numFmtId="0" fontId="7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49" fontId="10" fillId="6" borderId="20" xfId="0" applyNumberFormat="1" applyFont="1" applyFill="1" applyBorder="1" applyAlignment="1">
      <alignment horizontal="center" vertical="center" wrapText="1"/>
    </xf>
    <xf numFmtId="49" fontId="10" fillId="6" borderId="21" xfId="0" applyNumberFormat="1" applyFont="1" applyFill="1" applyBorder="1" applyAlignment="1">
      <alignment horizontal="center" vertical="center" wrapText="1"/>
    </xf>
    <xf numFmtId="49" fontId="10" fillId="6" borderId="22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10" fillId="2" borderId="13" xfId="0" applyFont="1" applyFill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0" fontId="12" fillId="2" borderId="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10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6" fillId="0" borderId="39" xfId="0" applyFont="1" applyBorder="1"/>
    <xf numFmtId="49" fontId="32" fillId="0" borderId="56" xfId="1" applyNumberFormat="1" applyFont="1" applyBorder="1" applyAlignment="1">
      <alignment horizontal="center" vertical="center" wrapText="1"/>
    </xf>
    <xf numFmtId="0" fontId="6" fillId="6" borderId="21" xfId="0" applyFont="1" applyFill="1" applyBorder="1"/>
    <xf numFmtId="0" fontId="6" fillId="6" borderId="22" xfId="0" applyFont="1" applyFill="1" applyBorder="1"/>
    <xf numFmtId="49" fontId="13" fillId="0" borderId="0" xfId="0" applyNumberFormat="1" applyFont="1" applyAlignment="1">
      <alignment horizontal="center" vertical="center"/>
    </xf>
    <xf numFmtId="16" fontId="10" fillId="0" borderId="29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49" fontId="13" fillId="0" borderId="41" xfId="0" applyNumberFormat="1" applyFont="1" applyBorder="1" applyAlignment="1">
      <alignment horizontal="center" vertical="center" wrapText="1"/>
    </xf>
    <xf numFmtId="0" fontId="6" fillId="0" borderId="42" xfId="0" applyFont="1" applyBorder="1"/>
    <xf numFmtId="0" fontId="35" fillId="5" borderId="29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  <xf numFmtId="49" fontId="7" fillId="0" borderId="46" xfId="0" applyNumberFormat="1" applyFont="1" applyBorder="1" applyAlignment="1">
      <alignment horizontal="center"/>
    </xf>
    <xf numFmtId="0" fontId="6" fillId="0" borderId="46" xfId="0" applyFont="1" applyBorder="1"/>
    <xf numFmtId="0" fontId="7" fillId="0" borderId="46" xfId="0" applyFont="1" applyBorder="1" applyAlignment="1">
      <alignment horizontal="center" vertical="center" wrapText="1"/>
    </xf>
    <xf numFmtId="0" fontId="0" fillId="0" borderId="46" xfId="0" applyBorder="1"/>
    <xf numFmtId="1" fontId="13" fillId="0" borderId="32" xfId="0" applyNumberFormat="1" applyFont="1" applyBorder="1" applyAlignment="1">
      <alignment horizontal="center" vertical="center" wrapText="1"/>
    </xf>
    <xf numFmtId="1" fontId="6" fillId="0" borderId="34" xfId="0" applyNumberFormat="1" applyFont="1" applyBorder="1"/>
    <xf numFmtId="0" fontId="33" fillId="0" borderId="20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6" fillId="0" borderId="47" xfId="0" applyFont="1" applyBorder="1"/>
    <xf numFmtId="49" fontId="30" fillId="0" borderId="64" xfId="0" applyNumberFormat="1" applyFont="1" applyBorder="1" applyAlignment="1">
      <alignment horizontal="center" vertical="center"/>
    </xf>
    <xf numFmtId="49" fontId="30" fillId="0" borderId="70" xfId="0" applyNumberFormat="1" applyFont="1" applyBorder="1" applyAlignment="1">
      <alignment horizontal="center" vertical="center"/>
    </xf>
    <xf numFmtId="0" fontId="34" fillId="0" borderId="21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5" borderId="29" xfId="0" applyFont="1" applyFill="1" applyBorder="1" applyAlignment="1">
      <alignment horizont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13" fillId="4" borderId="29" xfId="0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center"/>
    </xf>
    <xf numFmtId="49" fontId="13" fillId="4" borderId="41" xfId="0" applyNumberFormat="1" applyFont="1" applyFill="1" applyBorder="1" applyAlignment="1">
      <alignment horizontal="center" vertical="center" wrapText="1"/>
    </xf>
    <xf numFmtId="49" fontId="13" fillId="4" borderId="16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24" xfId="0" applyFont="1" applyBorder="1" applyAlignment="1">
      <alignment horizontal="center" vertical="center" wrapText="1"/>
    </xf>
    <xf numFmtId="49" fontId="29" fillId="3" borderId="50" xfId="0" applyNumberFormat="1" applyFont="1" applyFill="1" applyBorder="1" applyAlignment="1">
      <alignment horizontal="left" vertical="center" wrapText="1"/>
    </xf>
    <xf numFmtId="49" fontId="29" fillId="3" borderId="51" xfId="0" applyNumberFormat="1" applyFont="1" applyFill="1" applyBorder="1" applyAlignment="1">
      <alignment horizontal="left" vertical="center" wrapText="1"/>
    </xf>
    <xf numFmtId="0" fontId="6" fillId="0" borderId="52" xfId="0" applyFont="1" applyBorder="1"/>
    <xf numFmtId="0" fontId="6" fillId="0" borderId="53" xfId="0" applyFont="1" applyBorder="1"/>
    <xf numFmtId="0" fontId="29" fillId="3" borderId="50" xfId="0" applyFont="1" applyFill="1" applyBorder="1" applyAlignment="1">
      <alignment horizontal="left" vertical="center" wrapText="1"/>
    </xf>
    <xf numFmtId="49" fontId="29" fillId="3" borderId="20" xfId="0" applyNumberFormat="1" applyFont="1" applyFill="1" applyBorder="1" applyAlignment="1">
      <alignment horizontal="left" vertical="center" wrapText="1"/>
    </xf>
    <xf numFmtId="49" fontId="25" fillId="3" borderId="50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/>
    </xf>
    <xf numFmtId="0" fontId="13" fillId="3" borderId="43" xfId="0" applyFont="1" applyFill="1" applyBorder="1" applyAlignment="1">
      <alignment horizontal="center" vertical="center" wrapText="1"/>
    </xf>
    <xf numFmtId="0" fontId="26" fillId="3" borderId="29" xfId="0" applyFont="1" applyFill="1" applyBorder="1" applyAlignment="1">
      <alignment horizontal="left"/>
    </xf>
    <xf numFmtId="49" fontId="27" fillId="3" borderId="2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39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1AA923-B4ED-42AE-B945-069FDA44C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E34611-26A8-42EA-81D7-B80A14EC9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EEABB7-A36D-4A4B-A39C-2D9BDF32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F36A9-E784-4086-9A24-41756D0EB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05F84-3901-4F47-961D-E452E50B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D4AF6-F72C-4301-8F26-A9F559C21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78C77-D7DB-4F5B-A6BE-9928D6B7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8B0174-85CD-444E-95F1-8A5A8470B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75FB1-2CBC-4F17-8AF3-284FCEA3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D5D51F-F3DE-487A-93FC-E02BBC8A7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D381C3-C9E7-4033-9FC5-0B83CA915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107296</xdr:colOff>
      <xdr:row>6</xdr:row>
      <xdr:rowOff>204695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FC52DEC-C979-4D62-AB64-7E57496A4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350"/>
          <a:ext cx="1516996" cy="6999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4</xdr:row>
      <xdr:rowOff>0</xdr:rowOff>
    </xdr:from>
    <xdr:ext cx="2619375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638300" cy="676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  <pageSetUpPr fitToPage="1"/>
  </sheetPr>
  <dimension ref="A1:Z1000"/>
  <sheetViews>
    <sheetView view="pageBreakPreview" topLeftCell="A12" zoomScale="40" zoomScaleNormal="40" zoomScaleSheetLayoutView="40" workbookViewId="0">
      <selection activeCell="K44" sqref="K44:L44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4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136" t="s">
        <v>382</v>
      </c>
      <c r="H14" s="137"/>
      <c r="I14" s="137"/>
      <c r="J14" s="138"/>
      <c r="K14" s="10" t="str">
        <f t="array" ref="K14">INDEX(z_4_Materias2!B9:B141, MATCH(G14, z_4_Materias2!A9:A141, 0))</f>
        <v>24CD017</v>
      </c>
      <c r="L14" s="10" t="s">
        <v>437</v>
      </c>
      <c r="M14" s="139">
        <f t="array" ref="M14">INDEX(z_4_Materias2!D9:D141, MATCH(G14, z_4_Materias2!A9:A141, 0))</f>
        <v>4</v>
      </c>
      <c r="N14" s="73"/>
      <c r="O14" s="73"/>
      <c r="P14" s="74"/>
      <c r="Q14" s="149">
        <f>SUM(M14:P18)</f>
        <v>8</v>
      </c>
      <c r="R14" s="125"/>
      <c r="S14" s="9" t="str">
        <f t="shared" ref="S14:S18" si="0">G14&amp;" "&amp;L14</f>
        <v>Cálculo Integral* CD301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424</v>
      </c>
      <c r="H15" s="73"/>
      <c r="I15" s="73"/>
      <c r="J15" s="74"/>
      <c r="K15" s="10" t="str">
        <f t="array" ref="K15">INDEX(z_4_Materias2!B10:B141, MATCH(G15, z_4_Materias2!A10:A141, 0))</f>
        <v>24IRD017</v>
      </c>
      <c r="L15" s="10" t="s">
        <v>438</v>
      </c>
      <c r="M15" s="139">
        <f t="array" ref="M15">INDEX(z_4_Materias2!D9:D141, MATCH(G15, z_4_Materias2!A9:A141, 0))</f>
        <v>4</v>
      </c>
      <c r="N15" s="73"/>
      <c r="O15" s="73"/>
      <c r="P15" s="74"/>
      <c r="Q15" s="96"/>
      <c r="R15" s="106"/>
      <c r="S15" s="9" t="str">
        <f t="shared" si="0"/>
        <v>Cálculo Integral_ IRD301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17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8"/>
      <c r="H21" s="73"/>
      <c r="I21" s="73"/>
      <c r="J21" s="73"/>
      <c r="K21" s="74"/>
      <c r="L21" s="126"/>
      <c r="M21" s="124"/>
      <c r="N21" s="124"/>
      <c r="O21" s="124"/>
      <c r="P21" s="125"/>
      <c r="Q21" s="76"/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8"/>
      <c r="H22" s="73"/>
      <c r="I22" s="73"/>
      <c r="J22" s="73"/>
      <c r="K22" s="7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6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6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7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2"/>
      <c r="H33" s="83"/>
      <c r="I33" s="83"/>
      <c r="J33" s="83"/>
      <c r="K33" s="84"/>
      <c r="L33" s="88"/>
      <c r="M33" s="73"/>
      <c r="N33" s="73"/>
      <c r="O33" s="73"/>
      <c r="P33" s="74"/>
      <c r="Q33" s="88"/>
      <c r="R33" s="74"/>
      <c r="S33" s="9"/>
    </row>
    <row r="34" spans="1:20" ht="21" customHeight="1" thickBot="1" x14ac:dyDescent="0.35">
      <c r="A34" s="98"/>
      <c r="B34" s="99"/>
      <c r="C34" s="99"/>
      <c r="D34" s="99"/>
      <c r="E34" s="99"/>
      <c r="F34" s="99"/>
      <c r="G34" s="102"/>
      <c r="H34" s="103"/>
      <c r="I34" s="103"/>
      <c r="J34" s="103"/>
      <c r="K34" s="104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28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thickBot="1" x14ac:dyDescent="0.35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thickBot="1" x14ac:dyDescent="0.35">
      <c r="A42" s="60" t="s">
        <v>40</v>
      </c>
      <c r="B42" s="61"/>
      <c r="C42" s="61"/>
      <c r="D42" s="61"/>
      <c r="E42" s="61"/>
      <c r="F42" s="62"/>
      <c r="G42" s="64"/>
      <c r="H42" s="65"/>
      <c r="I42" s="66" t="s">
        <v>440</v>
      </c>
      <c r="J42" s="67"/>
      <c r="K42" s="66" t="s">
        <v>440</v>
      </c>
      <c r="L42" s="67"/>
      <c r="M42" s="70" t="s">
        <v>442</v>
      </c>
      <c r="N42" s="71"/>
      <c r="O42" s="64"/>
      <c r="P42" s="65"/>
      <c r="Q42" s="63"/>
      <c r="R42" s="62"/>
      <c r="S42" s="9"/>
    </row>
    <row r="43" spans="1:20" ht="54.75" customHeight="1" thickBot="1" x14ac:dyDescent="0.35">
      <c r="A43" s="60" t="s">
        <v>41</v>
      </c>
      <c r="B43" s="61"/>
      <c r="C43" s="61"/>
      <c r="D43" s="61"/>
      <c r="E43" s="61"/>
      <c r="F43" s="62"/>
      <c r="G43" s="64"/>
      <c r="H43" s="65"/>
      <c r="I43" s="66" t="s">
        <v>440</v>
      </c>
      <c r="J43" s="67"/>
      <c r="K43" s="66" t="s">
        <v>440</v>
      </c>
      <c r="L43" s="67"/>
      <c r="M43" s="70" t="s">
        <v>442</v>
      </c>
      <c r="N43" s="71"/>
      <c r="O43" s="64"/>
      <c r="P43" s="65"/>
      <c r="Q43" s="63"/>
      <c r="R43" s="62"/>
      <c r="S43" s="9"/>
    </row>
    <row r="44" spans="1:20" ht="54.75" customHeight="1" thickBot="1" x14ac:dyDescent="0.35">
      <c r="A44" s="60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8"/>
      <c r="P44" s="69"/>
      <c r="Q44" s="63"/>
      <c r="R44" s="62"/>
      <c r="S44" s="9"/>
    </row>
    <row r="45" spans="1:20" ht="54.75" customHeight="1" thickBot="1" x14ac:dyDescent="0.35">
      <c r="A45" s="60" t="s">
        <v>43</v>
      </c>
      <c r="B45" s="61"/>
      <c r="C45" s="61"/>
      <c r="D45" s="61"/>
      <c r="E45" s="61"/>
      <c r="F45" s="62"/>
      <c r="G45" s="68"/>
      <c r="H45" s="69"/>
      <c r="I45" s="70" t="s">
        <v>442</v>
      </c>
      <c r="J45" s="71"/>
      <c r="K45" s="66" t="s">
        <v>442</v>
      </c>
      <c r="L45" s="67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60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8"/>
      <c r="L46" s="69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60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60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60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63"/>
      <c r="L50" s="62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60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60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60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60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60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BASTIDA MIRANDA JULIO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38" priority="1" operator="equal">
      <formula>0</formula>
    </cfRule>
  </conditionalFormatting>
  <conditionalFormatting sqref="M14:R18">
    <cfRule type="cellIs" dxfId="37" priority="2" operator="equal">
      <formula>0</formula>
    </cfRule>
  </conditionalFormatting>
  <conditionalFormatting sqref="Q38:R38">
    <cfRule type="cellIs" dxfId="36" priority="3" operator="equal">
      <formula>0</formula>
    </cfRule>
  </conditionalFormatting>
  <dataValidations count="3">
    <dataValidation type="list" allowBlank="1" sqref="G42:G56 I42:I56 Q57:R57 O42:O56 M42:M56 Q42:Q56 K42:K56" xr:uid="{00000000-0002-0000-0000-000000000000}">
      <formula1>$S$14:$S$19</formula1>
    </dataValidation>
    <dataValidation type="list" allowBlank="1" sqref="G20" xr:uid="{00000000-0002-0000-0000-000001000000}">
      <formula1>$L$14:$L$18</formula1>
    </dataValidation>
    <dataValidation type="list" allowBlank="1" showErrorMessage="1" sqref="G23:G24" xr:uid="{00000000-0002-0000-0000-000002000000}">
      <formula1>$L$14:$L$18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scale="4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000-000003000000}">
          <x14:formula1>
            <xm:f>z_4_Materias2!$A$9:$A$141</xm:f>
          </x14:formula1>
          <xm:sqref>G14:J18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Z1000"/>
  <sheetViews>
    <sheetView view="pageBreakPreview" topLeftCell="A10" zoomScale="40" zoomScaleNormal="30" zoomScaleSheetLayoutView="40" workbookViewId="0">
      <selection activeCell="M45" sqref="M45:N45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59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136" t="s">
        <v>432</v>
      </c>
      <c r="H14" s="159"/>
      <c r="I14" s="159"/>
      <c r="J14" s="160"/>
      <c r="K14" s="10" t="str">
        <f t="array" ref="K14">INDEX(z_4_Materias2!B9:B141, MATCH(G14, z_4_Materias2!A9:A141, 0))</f>
        <v>24IRD021</v>
      </c>
      <c r="L14" s="10" t="s">
        <v>438</v>
      </c>
      <c r="M14" s="139">
        <f t="array" ref="M14">INDEX(z_4_Materias2!D9:D141, MATCH(G14, z_4_Materias2!A9:A141, 0))</f>
        <v>4</v>
      </c>
      <c r="N14" s="73"/>
      <c r="O14" s="73"/>
      <c r="P14" s="74"/>
      <c r="Q14" s="149">
        <f>SUM(M14:P18)</f>
        <v>8</v>
      </c>
      <c r="R14" s="125"/>
      <c r="S14" s="9" t="str">
        <f t="shared" ref="S14:S18" si="0">G14&amp;" "&amp;L14</f>
        <v>Proyecto Integrador I_ IRD301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136" t="s">
        <v>424</v>
      </c>
      <c r="H15" s="159"/>
      <c r="I15" s="159"/>
      <c r="J15" s="160"/>
      <c r="K15" s="10" t="str">
        <f t="array" ref="K15">INDEX(z_4_Materias2!B10:B141, MATCH(G15, z_4_Materias2!A10:A141, 0))</f>
        <v>24IRD017</v>
      </c>
      <c r="L15" s="10" t="s">
        <v>439</v>
      </c>
      <c r="M15" s="139">
        <f t="array" ref="M15">INDEX(z_4_Materias2!D9:D141, MATCH(G15, z_4_Materias2!A9:A141, 0))</f>
        <v>4</v>
      </c>
      <c r="N15" s="73"/>
      <c r="O15" s="73"/>
      <c r="P15" s="74"/>
      <c r="Q15" s="96"/>
      <c r="R15" s="106"/>
      <c r="S15" s="9" t="str">
        <f t="shared" si="0"/>
        <v>Cálculo Integral_ IRD302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20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8"/>
      <c r="H21" s="73"/>
      <c r="I21" s="73"/>
      <c r="J21" s="73"/>
      <c r="K21" s="74"/>
      <c r="L21" s="126"/>
      <c r="M21" s="124"/>
      <c r="N21" s="124"/>
      <c r="O21" s="124"/>
      <c r="P21" s="125"/>
      <c r="Q21" s="76"/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8"/>
      <c r="H22" s="73"/>
      <c r="I22" s="73"/>
      <c r="J22" s="73"/>
      <c r="K22" s="7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x14ac:dyDescent="0.3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4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82" t="s">
        <v>355</v>
      </c>
      <c r="H31" s="83"/>
      <c r="I31" s="83"/>
      <c r="J31" s="83"/>
      <c r="K31" s="158"/>
      <c r="L31" s="108"/>
      <c r="M31" s="109"/>
      <c r="N31" s="109"/>
      <c r="O31" s="109"/>
      <c r="P31" s="110"/>
      <c r="Q31" s="111">
        <v>4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82" t="s">
        <v>356</v>
      </c>
      <c r="H32" s="83"/>
      <c r="I32" s="83"/>
      <c r="J32" s="83"/>
      <c r="K32" s="158"/>
      <c r="L32" s="88"/>
      <c r="M32" s="73"/>
      <c r="N32" s="73"/>
      <c r="O32" s="73"/>
      <c r="P32" s="74"/>
      <c r="Q32" s="116">
        <v>4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2" t="s">
        <v>357</v>
      </c>
      <c r="H33" s="83"/>
      <c r="I33" s="83"/>
      <c r="J33" s="83"/>
      <c r="K33" s="158"/>
      <c r="L33" s="88"/>
      <c r="M33" s="73"/>
      <c r="N33" s="73"/>
      <c r="O33" s="73"/>
      <c r="P33" s="74"/>
      <c r="Q33" s="116">
        <v>5</v>
      </c>
      <c r="R33" s="74"/>
      <c r="S33" s="9"/>
    </row>
    <row r="34" spans="1:20" ht="21" customHeight="1" thickBot="1" x14ac:dyDescent="0.35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26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x14ac:dyDescent="0.3">
      <c r="A42" s="60" t="s">
        <v>40</v>
      </c>
      <c r="B42" s="61"/>
      <c r="C42" s="61"/>
      <c r="D42" s="61"/>
      <c r="E42" s="61"/>
      <c r="F42" s="62"/>
      <c r="G42" s="64"/>
      <c r="H42" s="65"/>
      <c r="I42" s="64"/>
      <c r="J42" s="65"/>
      <c r="K42" s="64"/>
      <c r="L42" s="65"/>
      <c r="M42" s="64"/>
      <c r="N42" s="65"/>
      <c r="O42" s="64"/>
      <c r="P42" s="65"/>
      <c r="Q42" s="63"/>
      <c r="R42" s="62"/>
      <c r="S42" s="9"/>
    </row>
    <row r="43" spans="1:20" ht="54.75" customHeight="1" thickBot="1" x14ac:dyDescent="0.35">
      <c r="A43" s="60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54.75" customHeight="1" thickBot="1" x14ac:dyDescent="0.35">
      <c r="A44" s="60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6" t="s">
        <v>443</v>
      </c>
      <c r="N44" s="67"/>
      <c r="O44" s="66" t="s">
        <v>441</v>
      </c>
      <c r="P44" s="67"/>
      <c r="Q44" s="63"/>
      <c r="R44" s="62"/>
      <c r="S44" s="9"/>
    </row>
    <row r="45" spans="1:20" ht="54.75" customHeight="1" thickBot="1" x14ac:dyDescent="0.35">
      <c r="A45" s="60" t="s">
        <v>43</v>
      </c>
      <c r="B45" s="61"/>
      <c r="C45" s="61"/>
      <c r="D45" s="61"/>
      <c r="E45" s="61"/>
      <c r="F45" s="62"/>
      <c r="G45" s="64"/>
      <c r="H45" s="65"/>
      <c r="I45" s="64"/>
      <c r="J45" s="65"/>
      <c r="K45" s="64"/>
      <c r="L45" s="65"/>
      <c r="M45" s="66" t="s">
        <v>443</v>
      </c>
      <c r="N45" s="67"/>
      <c r="O45" s="66" t="s">
        <v>441</v>
      </c>
      <c r="P45" s="67"/>
      <c r="Q45" s="63"/>
      <c r="R45" s="62"/>
      <c r="S45" s="9"/>
    </row>
    <row r="46" spans="1:20" ht="54.75" customHeight="1" thickBot="1" x14ac:dyDescent="0.35">
      <c r="A46" s="60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60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6" t="s">
        <v>441</v>
      </c>
      <c r="N47" s="67"/>
      <c r="O47" s="66" t="s">
        <v>443</v>
      </c>
      <c r="P47" s="67"/>
      <c r="Q47" s="63"/>
      <c r="R47" s="62"/>
      <c r="S47" s="9"/>
    </row>
    <row r="48" spans="1:20" ht="54.75" customHeight="1" thickBot="1" x14ac:dyDescent="0.35">
      <c r="A48" s="60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6" t="s">
        <v>441</v>
      </c>
      <c r="N48" s="67"/>
      <c r="O48" s="66" t="s">
        <v>443</v>
      </c>
      <c r="P48" s="67"/>
      <c r="Q48" s="63"/>
      <c r="R48" s="62"/>
      <c r="S48" s="9"/>
    </row>
    <row r="49" spans="1:19" ht="54.7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60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63"/>
      <c r="L50" s="62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60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60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60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60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60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CASAS GÓMEZ VÍCTOR MANUEL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35" priority="1" operator="equal">
      <formula>0</formula>
    </cfRule>
  </conditionalFormatting>
  <conditionalFormatting sqref="M14:R18">
    <cfRule type="cellIs" dxfId="34" priority="2" operator="equal">
      <formula>0</formula>
    </cfRule>
  </conditionalFormatting>
  <conditionalFormatting sqref="Q38:R38">
    <cfRule type="cellIs" dxfId="33" priority="3" operator="equal">
      <formula>0</formula>
    </cfRule>
  </conditionalFormatting>
  <dataValidations count="3">
    <dataValidation type="list" allowBlank="1" sqref="O42:O56 M42:M56 G42:G56 Q57:R57 I42:I56 Q42:Q56 K42:K56" xr:uid="{00000000-0002-0000-0100-000000000000}">
      <formula1>$S$14:$S$19</formula1>
    </dataValidation>
    <dataValidation type="list" allowBlank="1" sqref="G20" xr:uid="{00000000-0002-0000-0100-000001000000}">
      <formula1>$L$14:$L$18</formula1>
    </dataValidation>
    <dataValidation type="list" allowBlank="1" showErrorMessage="1" sqref="G23:G24" xr:uid="{00000000-0002-0000-01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1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  <pageSetUpPr fitToPage="1"/>
  </sheetPr>
  <dimension ref="A1:Z1000"/>
  <sheetViews>
    <sheetView view="pageBreakPreview" topLeftCell="A2" zoomScale="40" zoomScaleNormal="3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62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21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64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67</v>
      </c>
      <c r="H21" s="57"/>
      <c r="I21" s="57"/>
      <c r="J21" s="57"/>
      <c r="K21" s="77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6"/>
      <c r="H22" s="57"/>
      <c r="I22" s="57"/>
      <c r="J22" s="57"/>
      <c r="K22" s="77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5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6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7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20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x14ac:dyDescent="0.3">
      <c r="A42" s="60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78.75" customHeight="1" x14ac:dyDescent="0.3">
      <c r="A43" s="60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99" customHeight="1" thickBot="1" x14ac:dyDescent="0.35">
      <c r="A44" s="60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4"/>
      <c r="P44" s="65"/>
      <c r="Q44" s="63"/>
      <c r="R44" s="62"/>
      <c r="S44" s="9"/>
    </row>
    <row r="45" spans="1:20" ht="78.75" customHeight="1" thickBot="1" x14ac:dyDescent="0.35">
      <c r="A45" s="60" t="s">
        <v>43</v>
      </c>
      <c r="B45" s="61"/>
      <c r="C45" s="61"/>
      <c r="D45" s="61"/>
      <c r="E45" s="61"/>
      <c r="F45" s="62"/>
      <c r="G45" s="68"/>
      <c r="H45" s="69"/>
      <c r="I45" s="68"/>
      <c r="J45" s="69"/>
      <c r="K45" s="68"/>
      <c r="L45" s="69"/>
      <c r="M45" s="68"/>
      <c r="N45" s="69"/>
      <c r="O45" s="68"/>
      <c r="P45" s="69"/>
      <c r="Q45" s="63"/>
      <c r="R45" s="62"/>
      <c r="S45" s="9"/>
    </row>
    <row r="46" spans="1:20" ht="90" customHeight="1" thickBot="1" x14ac:dyDescent="0.35">
      <c r="A46" s="60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8"/>
      <c r="L46" s="69"/>
      <c r="M46" s="64"/>
      <c r="N46" s="65"/>
      <c r="O46" s="68"/>
      <c r="P46" s="69"/>
      <c r="Q46" s="63"/>
      <c r="R46" s="62"/>
      <c r="S46" s="9"/>
    </row>
    <row r="47" spans="1:20" ht="73.5" customHeight="1" thickBot="1" x14ac:dyDescent="0.35">
      <c r="A47" s="60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76.5" customHeight="1" thickBot="1" x14ac:dyDescent="0.35">
      <c r="A48" s="60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85.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97.5" customHeight="1" thickBot="1" x14ac:dyDescent="0.35">
      <c r="A50" s="60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x14ac:dyDescent="0.3">
      <c r="A51" s="60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60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60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60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60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DESCHAMPS SOLORZANO JOSÉ ALEJANDRO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32" priority="1" operator="equal">
      <formula>0</formula>
    </cfRule>
  </conditionalFormatting>
  <conditionalFormatting sqref="M14:R18">
    <cfRule type="cellIs" dxfId="31" priority="2" operator="equal">
      <formula>0</formula>
    </cfRule>
  </conditionalFormatting>
  <conditionalFormatting sqref="Q38:R38">
    <cfRule type="cellIs" dxfId="30" priority="3" operator="equal">
      <formula>0</formula>
    </cfRule>
  </conditionalFormatting>
  <dataValidations count="3">
    <dataValidation type="list" allowBlank="1" sqref="Q57:R57 G42:G56 I42:I56 K42:K56 M42:M56 Q42:Q56 O42:O56" xr:uid="{00000000-0002-0000-0200-000000000000}">
      <formula1>$S$14:$S$19</formula1>
    </dataValidation>
    <dataValidation type="list" allowBlank="1" sqref="G20:G22" xr:uid="{00000000-0002-0000-0200-000001000000}">
      <formula1>$L$14:$L$18</formula1>
    </dataValidation>
    <dataValidation type="list" allowBlank="1" showErrorMessage="1" sqref="G23:G24" xr:uid="{00000000-0002-0000-0200-000002000000}">
      <formula1>$L$14:$L$18</formula1>
    </dataValidation>
  </dataValidations>
  <printOptions horizontalCentered="1"/>
  <pageMargins left="0.25" right="0.25" top="0.75" bottom="0.75" header="0" footer="0"/>
  <pageSetup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2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  <pageSetUpPr fitToPage="1"/>
  </sheetPr>
  <dimension ref="A1:Z1000"/>
  <sheetViews>
    <sheetView view="pageBreakPreview" zoomScale="40" zoomScaleNormal="3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4">
      <c r="A4" s="168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68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/>
      <c r="H20" s="57"/>
      <c r="I20" s="57"/>
      <c r="J20" s="57"/>
      <c r="K20" s="77"/>
      <c r="L20" s="155"/>
      <c r="M20" s="55"/>
      <c r="N20" s="55"/>
      <c r="O20" s="55"/>
      <c r="P20" s="106"/>
      <c r="Q20" s="76"/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66</v>
      </c>
      <c r="H21" s="57"/>
      <c r="I21" s="57"/>
      <c r="J21" s="57"/>
      <c r="K21" s="77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6" t="s">
        <v>69</v>
      </c>
      <c r="H22" s="57"/>
      <c r="I22" s="57"/>
      <c r="J22" s="57"/>
      <c r="K22" s="77"/>
      <c r="L22" s="126"/>
      <c r="M22" s="124"/>
      <c r="N22" s="124"/>
      <c r="O22" s="124"/>
      <c r="P22" s="125"/>
      <c r="Q22" s="116">
        <v>1</v>
      </c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6" t="s">
        <v>70</v>
      </c>
      <c r="H23" s="57"/>
      <c r="I23" s="57"/>
      <c r="J23" s="57"/>
      <c r="K23" s="77"/>
      <c r="L23" s="126"/>
      <c r="M23" s="124"/>
      <c r="N23" s="124"/>
      <c r="O23" s="124"/>
      <c r="P23" s="125"/>
      <c r="Q23" s="116">
        <v>1</v>
      </c>
      <c r="R23" s="74"/>
      <c r="S23" s="9"/>
    </row>
    <row r="24" spans="1:19" ht="16.5" customHeight="1" thickBot="1" x14ac:dyDescent="0.35">
      <c r="A24" s="96"/>
      <c r="B24" s="106"/>
      <c r="C24" s="96"/>
      <c r="D24" s="55"/>
      <c r="E24" s="55"/>
      <c r="F24" s="106"/>
      <c r="G24" s="163"/>
      <c r="H24" s="73"/>
      <c r="I24" s="73"/>
      <c r="J24" s="73"/>
      <c r="K24" s="74"/>
      <c r="L24" s="115"/>
      <c r="M24" s="86"/>
      <c r="N24" s="86"/>
      <c r="O24" s="86"/>
      <c r="P24" s="87"/>
      <c r="Q24" s="116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108" t="s">
        <v>24</v>
      </c>
      <c r="R25" s="110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116">
        <v>5</v>
      </c>
      <c r="R26" s="74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164" t="s">
        <v>28</v>
      </c>
      <c r="M30" s="141"/>
      <c r="N30" s="141"/>
      <c r="O30" s="141"/>
      <c r="P30" s="16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6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6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20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75" t="s">
        <v>36</v>
      </c>
      <c r="L41" s="62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3"/>
      <c r="H43" s="62"/>
      <c r="I43" s="63"/>
      <c r="J43" s="62"/>
      <c r="K43" s="63"/>
      <c r="L43" s="62"/>
      <c r="M43" s="63"/>
      <c r="N43" s="62"/>
      <c r="O43" s="63"/>
      <c r="P43" s="62"/>
      <c r="Q43" s="63"/>
      <c r="R43" s="62"/>
      <c r="S43" s="9"/>
    </row>
    <row r="44" spans="1:20" ht="54.75" customHeight="1" x14ac:dyDescent="0.3">
      <c r="A44" s="162" t="s">
        <v>42</v>
      </c>
      <c r="B44" s="61"/>
      <c r="C44" s="61"/>
      <c r="D44" s="61"/>
      <c r="E44" s="61"/>
      <c r="F44" s="62"/>
      <c r="G44" s="63"/>
      <c r="H44" s="62"/>
      <c r="I44" s="63"/>
      <c r="J44" s="62"/>
      <c r="K44" s="63"/>
      <c r="L44" s="62"/>
      <c r="M44" s="63"/>
      <c r="N44" s="62"/>
      <c r="O44" s="63"/>
      <c r="P44" s="62"/>
      <c r="Q44" s="63"/>
      <c r="R44" s="62"/>
      <c r="S44" s="9"/>
    </row>
    <row r="45" spans="1:20" ht="54.75" customHeight="1" x14ac:dyDescent="0.3">
      <c r="A45" s="162" t="s">
        <v>43</v>
      </c>
      <c r="B45" s="61"/>
      <c r="C45" s="61"/>
      <c r="D45" s="61"/>
      <c r="E45" s="61"/>
      <c r="F45" s="62"/>
      <c r="G45" s="63"/>
      <c r="H45" s="62"/>
      <c r="I45" s="63"/>
      <c r="J45" s="62"/>
      <c r="K45" s="63"/>
      <c r="L45" s="62"/>
      <c r="M45" s="63"/>
      <c r="N45" s="62"/>
      <c r="O45" s="63"/>
      <c r="P45" s="62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3"/>
      <c r="H46" s="62"/>
      <c r="I46" s="63"/>
      <c r="J46" s="62"/>
      <c r="K46" s="63"/>
      <c r="L46" s="62"/>
      <c r="M46" s="63"/>
      <c r="N46" s="62"/>
      <c r="O46" s="63"/>
      <c r="P46" s="62"/>
      <c r="Q46" s="63"/>
      <c r="R46" s="62"/>
      <c r="S46" s="9"/>
    </row>
    <row r="47" spans="1:20" ht="69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166"/>
      <c r="P47" s="65"/>
      <c r="Q47" s="63"/>
      <c r="R47" s="62"/>
      <c r="S47" s="9"/>
    </row>
    <row r="48" spans="1:20" ht="69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69.75" customHeight="1" thickBot="1" x14ac:dyDescent="0.35">
      <c r="A49" s="162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69.75" customHeight="1" thickBot="1" x14ac:dyDescent="0.35">
      <c r="A50" s="162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thickBot="1" x14ac:dyDescent="0.35">
      <c r="A51" s="162" t="s">
        <v>49</v>
      </c>
      <c r="B51" s="61"/>
      <c r="C51" s="61"/>
      <c r="D51" s="61"/>
      <c r="E51" s="61"/>
      <c r="F51" s="62"/>
      <c r="G51" s="64"/>
      <c r="H51" s="65"/>
      <c r="I51" s="64"/>
      <c r="J51" s="65"/>
      <c r="K51" s="64"/>
      <c r="L51" s="65"/>
      <c r="M51" s="64"/>
      <c r="N51" s="65"/>
      <c r="O51" s="64"/>
      <c r="P51" s="65"/>
      <c r="Q51" s="63"/>
      <c r="R51" s="62"/>
      <c r="S51" s="9"/>
    </row>
    <row r="52" spans="1:19" ht="69.75" customHeight="1" thickBot="1" x14ac:dyDescent="0.35">
      <c r="A52" s="162" t="s">
        <v>50</v>
      </c>
      <c r="B52" s="61"/>
      <c r="C52" s="61"/>
      <c r="D52" s="61"/>
      <c r="E52" s="61"/>
      <c r="F52" s="62"/>
      <c r="G52" s="64"/>
      <c r="H52" s="65"/>
      <c r="I52" s="64"/>
      <c r="J52" s="65"/>
      <c r="K52" s="64"/>
      <c r="L52" s="65"/>
      <c r="M52" s="64"/>
      <c r="N52" s="65"/>
      <c r="O52" s="64"/>
      <c r="P52" s="65"/>
      <c r="Q52" s="63"/>
      <c r="R52" s="62"/>
      <c r="S52" s="9"/>
    </row>
    <row r="53" spans="1:19" ht="69.75" customHeight="1" thickBot="1" x14ac:dyDescent="0.35">
      <c r="A53" s="162" t="s">
        <v>51</v>
      </c>
      <c r="B53" s="61"/>
      <c r="C53" s="61"/>
      <c r="D53" s="61"/>
      <c r="E53" s="61"/>
      <c r="F53" s="62"/>
      <c r="G53" s="64"/>
      <c r="H53" s="65"/>
      <c r="I53" s="64"/>
      <c r="J53" s="65"/>
      <c r="K53" s="64"/>
      <c r="L53" s="65"/>
      <c r="M53" s="64"/>
      <c r="N53" s="65"/>
      <c r="O53" s="64"/>
      <c r="P53" s="65"/>
      <c r="Q53" s="63"/>
      <c r="R53" s="62"/>
      <c r="S53" s="9"/>
    </row>
    <row r="54" spans="1:19" ht="54.75" customHeight="1" thickBot="1" x14ac:dyDescent="0.35">
      <c r="A54" s="162" t="s">
        <v>52</v>
      </c>
      <c r="B54" s="61"/>
      <c r="C54" s="61"/>
      <c r="D54" s="61"/>
      <c r="E54" s="61"/>
      <c r="F54" s="62"/>
      <c r="G54" s="64"/>
      <c r="H54" s="65"/>
      <c r="I54" s="64"/>
      <c r="J54" s="65"/>
      <c r="K54" s="64"/>
      <c r="L54" s="65"/>
      <c r="M54" s="64"/>
      <c r="N54" s="65"/>
      <c r="O54" s="64"/>
      <c r="P54" s="65"/>
      <c r="Q54" s="63"/>
      <c r="R54" s="62"/>
      <c r="S54" s="9"/>
    </row>
    <row r="55" spans="1:19" ht="54.75" customHeight="1" thickBot="1" x14ac:dyDescent="0.35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ESPINOSA JIMÉNEZ MARÍA MARGARITA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M48:N48"/>
    <mergeCell ref="K48:L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I52:J52"/>
    <mergeCell ref="M52:N52"/>
    <mergeCell ref="O52:P52"/>
    <mergeCell ref="Q52:R52"/>
    <mergeCell ref="G52:H52"/>
    <mergeCell ref="K52:L52"/>
    <mergeCell ref="A53:F53"/>
    <mergeCell ref="I53:J53"/>
    <mergeCell ref="M53:N53"/>
    <mergeCell ref="O53:P53"/>
    <mergeCell ref="Q53:R53"/>
    <mergeCell ref="G53:H53"/>
    <mergeCell ref="K53:L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29" priority="1" operator="equal">
      <formula>0</formula>
    </cfRule>
  </conditionalFormatting>
  <conditionalFormatting sqref="M14:R18">
    <cfRule type="cellIs" dxfId="28" priority="2" operator="equal">
      <formula>0</formula>
    </cfRule>
  </conditionalFormatting>
  <conditionalFormatting sqref="Q38:R38">
    <cfRule type="cellIs" dxfId="27" priority="3" operator="equal">
      <formula>0</formula>
    </cfRule>
  </conditionalFormatting>
  <dataValidations count="3">
    <dataValidation type="list" allowBlank="1" sqref="K42:K56 O42:O56 Q57:R57 G42:G56 I42:I56 Q42:Q56 M42:M56" xr:uid="{00000000-0002-0000-0300-000000000000}">
      <formula1>$S$14:$S$19</formula1>
    </dataValidation>
    <dataValidation type="list" allowBlank="1" sqref="G20:G23" xr:uid="{00000000-0002-0000-0300-000001000000}">
      <formula1>$L$14:$L$18</formula1>
    </dataValidation>
    <dataValidation type="list" allowBlank="1" showErrorMessage="1" sqref="G24" xr:uid="{00000000-0002-0000-0300-000002000000}">
      <formula1>$L$14:$L$18</formula1>
    </dataValidation>
  </dataValidations>
  <printOptions horizontalCentered="1"/>
  <pageMargins left="0.25" right="0.25" top="0.75" bottom="0.75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3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FF00"/>
    <pageSetUpPr fitToPage="1"/>
  </sheetPr>
  <dimension ref="A1:Z1000"/>
  <sheetViews>
    <sheetView view="pageBreakPreview" zoomScale="40" zoomScaleNormal="2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74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7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thickBot="1" x14ac:dyDescent="0.35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/>
      <c r="L18" s="10"/>
      <c r="M18" s="150">
        <v>7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thickBot="1" x14ac:dyDescent="0.35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75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77</v>
      </c>
      <c r="H21" s="57"/>
      <c r="I21" s="57"/>
      <c r="J21" s="57"/>
      <c r="K21" s="77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6"/>
      <c r="H22" s="57"/>
      <c r="I22" s="57"/>
      <c r="J22" s="57"/>
      <c r="K22" s="77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6"/>
      <c r="H23" s="57"/>
      <c r="I23" s="57"/>
      <c r="J23" s="57"/>
      <c r="K23" s="77"/>
      <c r="L23" s="126"/>
      <c r="M23" s="124"/>
      <c r="N23" s="124"/>
      <c r="O23" s="124"/>
      <c r="P23" s="125"/>
      <c r="Q23" s="116"/>
      <c r="R23" s="74"/>
      <c r="S23" s="9"/>
    </row>
    <row r="24" spans="1:19" ht="16.5" customHeight="1" thickBot="1" x14ac:dyDescent="0.35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4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3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3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19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thickBot="1" x14ac:dyDescent="0.35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75" t="s">
        <v>36</v>
      </c>
      <c r="L41" s="62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thickBot="1" x14ac:dyDescent="0.35">
      <c r="A42" s="162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thickBot="1" x14ac:dyDescent="0.35">
      <c r="A43" s="162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54.75" customHeight="1" thickBot="1" x14ac:dyDescent="0.35">
      <c r="A44" s="162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4"/>
      <c r="P44" s="65"/>
      <c r="Q44" s="63"/>
      <c r="R44" s="62"/>
      <c r="S44" s="9"/>
    </row>
    <row r="45" spans="1:20" ht="54.75" customHeight="1" thickBot="1" x14ac:dyDescent="0.35">
      <c r="A45" s="162" t="s">
        <v>43</v>
      </c>
      <c r="B45" s="61"/>
      <c r="C45" s="61"/>
      <c r="D45" s="61"/>
      <c r="E45" s="61"/>
      <c r="F45" s="62"/>
      <c r="G45" s="64"/>
      <c r="H45" s="65"/>
      <c r="I45" s="64"/>
      <c r="J45" s="65"/>
      <c r="K45" s="64"/>
      <c r="L45" s="65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162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162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thickBot="1" x14ac:dyDescent="0.35">
      <c r="A51" s="162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thickBot="1" x14ac:dyDescent="0.35">
      <c r="A52" s="162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thickBot="1" x14ac:dyDescent="0.35">
      <c r="A53" s="162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thickBot="1" x14ac:dyDescent="0.35">
      <c r="A54" s="162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thickBot="1" x14ac:dyDescent="0.35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thickBot="1" x14ac:dyDescent="0.35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GARCÍA ROMERO LUIS ÁNGEL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5">
      <c r="A63" s="51"/>
      <c r="B63" s="51"/>
      <c r="C63" s="51"/>
      <c r="D63" s="51"/>
      <c r="E63" s="51"/>
      <c r="F63" s="51"/>
      <c r="G63" s="52"/>
      <c r="H63" s="52"/>
      <c r="I63" s="50"/>
      <c r="J63" s="50"/>
      <c r="K63" s="50"/>
      <c r="L63" s="50"/>
      <c r="M63" s="50"/>
      <c r="N63" s="50"/>
      <c r="O63" s="50"/>
      <c r="P63" s="50"/>
      <c r="Q63" s="20"/>
      <c r="R63" s="20"/>
    </row>
    <row r="64" spans="1:19" ht="14.25" customHeight="1" x14ac:dyDescent="0.35">
      <c r="A64" s="172"/>
      <c r="B64" s="173"/>
      <c r="C64" s="173"/>
      <c r="D64" s="173"/>
      <c r="E64" s="173"/>
      <c r="F64" s="173"/>
      <c r="G64" s="173"/>
      <c r="H64" s="173"/>
      <c r="I64" s="41"/>
      <c r="J64" s="41"/>
      <c r="K64" s="50"/>
      <c r="L64" s="50"/>
      <c r="M64" s="50"/>
      <c r="N64" s="50"/>
      <c r="O64" s="50"/>
      <c r="P64" s="50"/>
      <c r="Q64" s="19"/>
      <c r="R64" s="19"/>
    </row>
    <row r="65" spans="1:18" ht="14.25" customHeight="1" x14ac:dyDescent="0.35">
      <c r="A65" s="174"/>
      <c r="B65" s="175"/>
      <c r="C65" s="175"/>
      <c r="D65" s="175"/>
      <c r="E65" s="175"/>
      <c r="F65" s="175"/>
      <c r="G65" s="175"/>
      <c r="H65" s="175"/>
      <c r="I65" s="41"/>
      <c r="J65" s="41"/>
      <c r="K65" s="41"/>
      <c r="L65" s="50"/>
      <c r="M65" s="50"/>
      <c r="N65" s="50"/>
      <c r="O65" s="50"/>
      <c r="P65" s="50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5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64:H64"/>
    <mergeCell ref="A65:H65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26" priority="2" operator="equal">
      <formula>0</formula>
    </cfRule>
  </conditionalFormatting>
  <conditionalFormatting sqref="L18">
    <cfRule type="cellIs" dxfId="25" priority="1" operator="equal">
      <formula>0</formula>
    </cfRule>
  </conditionalFormatting>
  <conditionalFormatting sqref="M14:R18">
    <cfRule type="cellIs" dxfId="24" priority="3" operator="equal">
      <formula>0</formula>
    </cfRule>
  </conditionalFormatting>
  <conditionalFormatting sqref="Q38:R38">
    <cfRule type="cellIs" dxfId="23" priority="4" operator="equal">
      <formula>0</formula>
    </cfRule>
  </conditionalFormatting>
  <dataValidations count="3">
    <dataValidation type="list" allowBlank="1" sqref="Q57:R57 M42:M56 K42:K56 O42:O56 G42:G56 Q42:Q56 I42:I56" xr:uid="{00000000-0002-0000-0400-000000000000}">
      <formula1>$S$14:$S$19</formula1>
    </dataValidation>
    <dataValidation type="list" allowBlank="1" sqref="G20:G23" xr:uid="{00000000-0002-0000-0400-000001000000}">
      <formula1>$L$14:$L$18</formula1>
    </dataValidation>
    <dataValidation type="list" allowBlank="1" showErrorMessage="1" sqref="G24" xr:uid="{00000000-0002-0000-04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400-000003000000}">
          <x14:formula1>
            <xm:f>z_4_Materias2!$A$9:$A$141</xm:f>
          </x14:formula1>
          <xm:sqref>G14:G17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F0"/>
    <pageSetUpPr fitToPage="1"/>
  </sheetPr>
  <dimension ref="A1:Z1000"/>
  <sheetViews>
    <sheetView view="pageBreakPreview" zoomScale="40" zoomScaleNormal="3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78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thickBot="1" x14ac:dyDescent="0.35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73</v>
      </c>
      <c r="H20" s="57"/>
      <c r="I20" s="57"/>
      <c r="J20" s="57"/>
      <c r="K20" s="77"/>
      <c r="L20" s="155"/>
      <c r="M20" s="55"/>
      <c r="N20" s="55"/>
      <c r="O20" s="55"/>
      <c r="P20" s="106"/>
      <c r="Q20" s="76"/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80</v>
      </c>
      <c r="H21" s="57"/>
      <c r="I21" s="57"/>
      <c r="J21" s="57"/>
      <c r="K21" s="77"/>
      <c r="L21" s="126"/>
      <c r="M21" s="124"/>
      <c r="N21" s="124"/>
      <c r="O21" s="124"/>
      <c r="P21" s="125"/>
      <c r="Q21" s="176">
        <v>1</v>
      </c>
      <c r="R21" s="1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6" t="s">
        <v>82</v>
      </c>
      <c r="H22" s="57"/>
      <c r="I22" s="57"/>
      <c r="J22" s="57"/>
      <c r="K22" s="77"/>
      <c r="L22" s="126"/>
      <c r="M22" s="124"/>
      <c r="N22" s="124"/>
      <c r="O22" s="124"/>
      <c r="P22" s="125"/>
      <c r="Q22" s="176">
        <v>1</v>
      </c>
      <c r="R22" s="177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6" t="s">
        <v>359</v>
      </c>
      <c r="H23" s="57"/>
      <c r="I23" s="57"/>
      <c r="J23" s="57"/>
      <c r="K23" s="77"/>
      <c r="L23" s="126"/>
      <c r="M23" s="124"/>
      <c r="N23" s="124"/>
      <c r="O23" s="124"/>
      <c r="P23" s="125"/>
      <c r="Q23" s="176">
        <v>1</v>
      </c>
      <c r="R23" s="177"/>
      <c r="S23" s="9"/>
    </row>
    <row r="24" spans="1:19" ht="16.5" customHeight="1" thickBot="1" x14ac:dyDescent="0.35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5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5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6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19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x14ac:dyDescent="0.3">
      <c r="A42" s="60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x14ac:dyDescent="0.3">
      <c r="A43" s="60" t="s">
        <v>41</v>
      </c>
      <c r="B43" s="61"/>
      <c r="C43" s="61"/>
      <c r="D43" s="61"/>
      <c r="E43" s="61"/>
      <c r="F43" s="62"/>
      <c r="G43" s="63"/>
      <c r="H43" s="62"/>
      <c r="I43" s="63"/>
      <c r="J43" s="62"/>
      <c r="K43" s="63"/>
      <c r="L43" s="62"/>
      <c r="M43" s="63"/>
      <c r="N43" s="62"/>
      <c r="O43" s="63"/>
      <c r="P43" s="62"/>
      <c r="Q43" s="63"/>
      <c r="R43" s="62"/>
      <c r="S43" s="9"/>
    </row>
    <row r="44" spans="1:20" ht="54.75" customHeight="1" x14ac:dyDescent="0.3">
      <c r="A44" s="60" t="s">
        <v>42</v>
      </c>
      <c r="B44" s="61"/>
      <c r="C44" s="61"/>
      <c r="D44" s="61"/>
      <c r="E44" s="61"/>
      <c r="F44" s="62"/>
      <c r="G44" s="63"/>
      <c r="H44" s="62"/>
      <c r="I44" s="63"/>
      <c r="J44" s="62"/>
      <c r="K44" s="63"/>
      <c r="L44" s="62"/>
      <c r="M44" s="63"/>
      <c r="N44" s="62"/>
      <c r="O44" s="63"/>
      <c r="P44" s="62"/>
      <c r="Q44" s="63"/>
      <c r="R44" s="62"/>
      <c r="S44" s="9"/>
    </row>
    <row r="45" spans="1:20" ht="54.75" customHeight="1" x14ac:dyDescent="0.3">
      <c r="A45" s="60" t="s">
        <v>43</v>
      </c>
      <c r="B45" s="61"/>
      <c r="C45" s="61"/>
      <c r="D45" s="61"/>
      <c r="E45" s="61"/>
      <c r="F45" s="62"/>
      <c r="G45" s="63"/>
      <c r="H45" s="62"/>
      <c r="I45" s="63"/>
      <c r="J45" s="62"/>
      <c r="K45" s="63"/>
      <c r="L45" s="62"/>
      <c r="M45" s="63"/>
      <c r="N45" s="62"/>
      <c r="O45" s="63"/>
      <c r="P45" s="62"/>
      <c r="Q45" s="63"/>
      <c r="R45" s="62"/>
      <c r="S45" s="9"/>
    </row>
    <row r="46" spans="1:20" ht="54.75" customHeight="1" thickBot="1" x14ac:dyDescent="0.35">
      <c r="A46" s="60" t="s">
        <v>44</v>
      </c>
      <c r="B46" s="61"/>
      <c r="C46" s="61"/>
      <c r="D46" s="61"/>
      <c r="E46" s="61"/>
      <c r="F46" s="62"/>
      <c r="G46" s="63"/>
      <c r="H46" s="62"/>
      <c r="I46" s="63"/>
      <c r="J46" s="62"/>
      <c r="K46" s="63"/>
      <c r="L46" s="62"/>
      <c r="M46" s="63"/>
      <c r="N46" s="62"/>
      <c r="O46" s="63"/>
      <c r="P46" s="62"/>
      <c r="Q46" s="63"/>
      <c r="R46" s="62"/>
      <c r="S46" s="9"/>
    </row>
    <row r="47" spans="1:20" ht="54.75" customHeight="1" thickBot="1" x14ac:dyDescent="0.35">
      <c r="A47" s="60" t="s">
        <v>45</v>
      </c>
      <c r="B47" s="61"/>
      <c r="C47" s="61"/>
      <c r="D47" s="61"/>
      <c r="E47" s="61"/>
      <c r="F47" s="62"/>
      <c r="G47" s="63"/>
      <c r="H47" s="62"/>
      <c r="I47" s="63"/>
      <c r="J47" s="62"/>
      <c r="K47" s="63"/>
      <c r="L47" s="62"/>
      <c r="M47" s="63"/>
      <c r="N47" s="62"/>
      <c r="O47" s="63"/>
      <c r="P47" s="62"/>
      <c r="Q47" s="63"/>
      <c r="R47" s="62"/>
      <c r="S47" s="9"/>
    </row>
    <row r="48" spans="1:20" ht="54.75" customHeight="1" thickBot="1" x14ac:dyDescent="0.35">
      <c r="A48" s="60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60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thickBot="1" x14ac:dyDescent="0.35">
      <c r="A51" s="60" t="s">
        <v>49</v>
      </c>
      <c r="B51" s="61"/>
      <c r="C51" s="61"/>
      <c r="D51" s="61"/>
      <c r="E51" s="61"/>
      <c r="F51" s="62"/>
      <c r="G51" s="64"/>
      <c r="H51" s="65"/>
      <c r="I51" s="64"/>
      <c r="J51" s="65"/>
      <c r="K51" s="64"/>
      <c r="L51" s="65"/>
      <c r="M51" s="64"/>
      <c r="N51" s="65"/>
      <c r="O51" s="64"/>
      <c r="P51" s="65"/>
      <c r="Q51" s="63"/>
      <c r="R51" s="62"/>
      <c r="S51" s="9"/>
    </row>
    <row r="52" spans="1:19" ht="54.75" customHeight="1" thickBot="1" x14ac:dyDescent="0.35">
      <c r="A52" s="60" t="s">
        <v>50</v>
      </c>
      <c r="B52" s="61"/>
      <c r="C52" s="61"/>
      <c r="D52" s="61"/>
      <c r="E52" s="61"/>
      <c r="F52" s="62"/>
      <c r="G52" s="64"/>
      <c r="H52" s="65"/>
      <c r="I52" s="64"/>
      <c r="J52" s="65"/>
      <c r="K52" s="64"/>
      <c r="L52" s="65"/>
      <c r="M52" s="64"/>
      <c r="N52" s="65"/>
      <c r="O52" s="64"/>
      <c r="P52" s="65"/>
      <c r="Q52" s="63"/>
      <c r="R52" s="62"/>
      <c r="S52" s="9"/>
    </row>
    <row r="53" spans="1:19" ht="54.75" customHeight="1" thickBot="1" x14ac:dyDescent="0.35">
      <c r="A53" s="60" t="s">
        <v>51</v>
      </c>
      <c r="B53" s="61"/>
      <c r="C53" s="61"/>
      <c r="D53" s="61"/>
      <c r="E53" s="61"/>
      <c r="F53" s="62"/>
      <c r="G53" s="64"/>
      <c r="H53" s="65"/>
      <c r="I53" s="64"/>
      <c r="J53" s="65"/>
      <c r="K53" s="64"/>
      <c r="L53" s="65"/>
      <c r="M53" s="64"/>
      <c r="N53" s="65"/>
      <c r="O53" s="64"/>
      <c r="P53" s="65"/>
      <c r="Q53" s="63"/>
      <c r="R53" s="62"/>
      <c r="S53" s="9"/>
    </row>
    <row r="54" spans="1:19" ht="54.75" customHeight="1" thickBot="1" x14ac:dyDescent="0.35">
      <c r="A54" s="60" t="s">
        <v>52</v>
      </c>
      <c r="B54" s="61"/>
      <c r="C54" s="61"/>
      <c r="D54" s="61"/>
      <c r="E54" s="61"/>
      <c r="F54" s="62"/>
      <c r="G54" s="64"/>
      <c r="H54" s="65"/>
      <c r="I54" s="64"/>
      <c r="J54" s="65"/>
      <c r="K54" s="64"/>
      <c r="L54" s="65"/>
      <c r="M54" s="64"/>
      <c r="N54" s="65"/>
      <c r="O54" s="64"/>
      <c r="P54" s="65"/>
      <c r="Q54" s="63"/>
      <c r="R54" s="62"/>
      <c r="S54" s="9"/>
    </row>
    <row r="55" spans="1:19" ht="54.75" customHeight="1" thickBot="1" x14ac:dyDescent="0.35">
      <c r="A55" s="60" t="s">
        <v>53</v>
      </c>
      <c r="B55" s="61"/>
      <c r="C55" s="61"/>
      <c r="D55" s="61"/>
      <c r="E55" s="61"/>
      <c r="F55" s="62"/>
      <c r="G55" s="64"/>
      <c r="H55" s="65"/>
      <c r="I55" s="64"/>
      <c r="J55" s="65"/>
      <c r="K55" s="64"/>
      <c r="L55" s="65"/>
      <c r="M55" s="64"/>
      <c r="N55" s="65"/>
      <c r="O55" s="64"/>
      <c r="P55" s="65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HERNÁNDEZ JIMÉNEZ ARTURO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3:R23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L24:P24"/>
    <mergeCell ref="Q24:R24"/>
    <mergeCell ref="L25:P25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M46:N46"/>
    <mergeCell ref="O46:P46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Q22:R22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G49:H49"/>
    <mergeCell ref="I49:J49"/>
    <mergeCell ref="K49:L49"/>
    <mergeCell ref="M49:N49"/>
    <mergeCell ref="O49:P49"/>
    <mergeCell ref="Q49:R49"/>
    <mergeCell ref="Q52:R52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  <mergeCell ref="A52:F52"/>
    <mergeCell ref="G52:H52"/>
    <mergeCell ref="I52:J52"/>
    <mergeCell ref="A53:F53"/>
    <mergeCell ref="G53:H53"/>
    <mergeCell ref="I53:J53"/>
    <mergeCell ref="A58:H58"/>
    <mergeCell ref="L58:Q58"/>
    <mergeCell ref="A61:H61"/>
    <mergeCell ref="L61:P61"/>
    <mergeCell ref="K53:L53"/>
    <mergeCell ref="M53:N53"/>
    <mergeCell ref="O53:P53"/>
    <mergeCell ref="Q53:R53"/>
    <mergeCell ref="K52:L52"/>
    <mergeCell ref="M52:N52"/>
    <mergeCell ref="O52:P52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</mergeCells>
  <conditionalFormatting sqref="K14:K18">
    <cfRule type="cellIs" dxfId="22" priority="1" operator="equal">
      <formula>0</formula>
    </cfRule>
  </conditionalFormatting>
  <conditionalFormatting sqref="M14:R18">
    <cfRule type="cellIs" dxfId="21" priority="2" operator="equal">
      <formula>0</formula>
    </cfRule>
  </conditionalFormatting>
  <conditionalFormatting sqref="Q38:R38">
    <cfRule type="cellIs" dxfId="20" priority="3" operator="equal">
      <formula>0</formula>
    </cfRule>
  </conditionalFormatting>
  <dataValidations count="3">
    <dataValidation type="list" allowBlank="1" sqref="Q57:R57 O42:O56 I42:I56 Q42:Q56 G42:G56 K42:K56 M42:M56" xr:uid="{00000000-0002-0000-0500-000000000000}">
      <formula1>$S$14:$S$19</formula1>
    </dataValidation>
    <dataValidation type="list" allowBlank="1" sqref="G20:G23" xr:uid="{00000000-0002-0000-0500-000001000000}">
      <formula1>$L$14:$L$18</formula1>
    </dataValidation>
    <dataValidation type="list" allowBlank="1" showErrorMessage="1" sqref="G24" xr:uid="{00000000-0002-0000-05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5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F0"/>
    <pageSetUpPr fitToPage="1"/>
  </sheetPr>
  <dimension ref="A1:Z1000"/>
  <sheetViews>
    <sheetView view="pageBreakPreview" topLeftCell="A11" zoomScale="40" zoomScaleNormal="30" zoomScaleSheetLayoutView="40" workbookViewId="0">
      <selection activeCell="K47" sqref="K47:L47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83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136" t="s">
        <v>428</v>
      </c>
      <c r="H14" s="159"/>
      <c r="I14" s="159"/>
      <c r="J14" s="160"/>
      <c r="K14" s="10" t="str">
        <f t="array" ref="K14">INDEX(z_4_Materias2!B9:B141, MATCH(G14, z_4_Materias2!A9:A141, 0))</f>
        <v>24IRD019</v>
      </c>
      <c r="L14" s="10" t="s">
        <v>438</v>
      </c>
      <c r="M14" s="139">
        <f t="array" ref="M14">INDEX(z_4_Materias2!D9:D141, MATCH(G14, z_4_Materias2!A9:A141, 0))</f>
        <v>5</v>
      </c>
      <c r="N14" s="73"/>
      <c r="O14" s="73"/>
      <c r="P14" s="74"/>
      <c r="Q14" s="149">
        <f>SUM(M14:P18)</f>
        <v>10</v>
      </c>
      <c r="R14" s="125"/>
      <c r="S14" s="9" t="str">
        <f t="shared" ref="S14:S18" si="0">G14&amp;" "&amp;L14</f>
        <v>Bases de Datos_ IRD301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136" t="s">
        <v>428</v>
      </c>
      <c r="H15" s="159"/>
      <c r="I15" s="159"/>
      <c r="J15" s="160"/>
      <c r="K15" s="10" t="str">
        <f t="array" ref="K15">INDEX(z_4_Materias2!B10:B141, MATCH(G15, z_4_Materias2!A10:A141, 0))</f>
        <v>24IRD019</v>
      </c>
      <c r="L15" s="10" t="s">
        <v>439</v>
      </c>
      <c r="M15" s="139">
        <f t="array" ref="M15">INDEX(z_4_Materias2!D9:D141, MATCH(G15, z_4_Materias2!A9:A141, 0))</f>
        <v>5</v>
      </c>
      <c r="N15" s="73"/>
      <c r="O15" s="73"/>
      <c r="P15" s="74"/>
      <c r="Q15" s="96"/>
      <c r="R15" s="106"/>
      <c r="S15" s="9" t="str">
        <f t="shared" si="0"/>
        <v>Bases de Datos_ IRD302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thickBot="1" x14ac:dyDescent="0.35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73</v>
      </c>
      <c r="H20" s="57"/>
      <c r="I20" s="57"/>
      <c r="J20" s="57"/>
      <c r="K20" s="77"/>
      <c r="L20" s="155"/>
      <c r="M20" s="55"/>
      <c r="N20" s="55"/>
      <c r="O20" s="55"/>
      <c r="P20" s="106"/>
      <c r="Q20" s="76"/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18</v>
      </c>
      <c r="H21" s="57"/>
      <c r="I21" s="57"/>
      <c r="J21" s="57"/>
      <c r="K21" s="77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6"/>
      <c r="H22" s="57"/>
      <c r="I22" s="57"/>
      <c r="J22" s="57"/>
      <c r="K22" s="77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112" t="s">
        <v>88</v>
      </c>
      <c r="H26" s="113"/>
      <c r="I26" s="113"/>
      <c r="J26" s="113"/>
      <c r="K26" s="114"/>
      <c r="L26" s="88"/>
      <c r="M26" s="73"/>
      <c r="N26" s="73"/>
      <c r="O26" s="73"/>
      <c r="P26" s="89"/>
      <c r="Q26" s="76">
        <v>4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82" t="s">
        <v>358</v>
      </c>
      <c r="H31" s="83"/>
      <c r="I31" s="83"/>
      <c r="J31" s="83"/>
      <c r="K31" s="158"/>
      <c r="L31" s="108"/>
      <c r="M31" s="109"/>
      <c r="N31" s="109"/>
      <c r="O31" s="109"/>
      <c r="P31" s="110"/>
      <c r="Q31" s="111">
        <v>3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82" t="s">
        <v>355</v>
      </c>
      <c r="H32" s="83"/>
      <c r="I32" s="83"/>
      <c r="J32" s="83"/>
      <c r="K32" s="158"/>
      <c r="L32" s="88"/>
      <c r="M32" s="73"/>
      <c r="N32" s="73"/>
      <c r="O32" s="73"/>
      <c r="P32" s="74"/>
      <c r="Q32" s="116">
        <v>2</v>
      </c>
      <c r="R32" s="74"/>
      <c r="S32" s="9"/>
    </row>
    <row r="33" spans="1:20" ht="21" customHeight="1" thickBot="1" x14ac:dyDescent="0.35">
      <c r="A33" s="96"/>
      <c r="B33" s="55"/>
      <c r="C33" s="55"/>
      <c r="D33" s="55"/>
      <c r="E33" s="55"/>
      <c r="F33" s="55"/>
      <c r="G33" s="82" t="s">
        <v>356</v>
      </c>
      <c r="H33" s="83"/>
      <c r="I33" s="83"/>
      <c r="J33" s="83"/>
      <c r="K33" s="158"/>
      <c r="L33" s="88"/>
      <c r="M33" s="73"/>
      <c r="N33" s="73"/>
      <c r="O33" s="73"/>
      <c r="P33" s="74"/>
      <c r="Q33" s="178">
        <v>4</v>
      </c>
      <c r="R33" s="74"/>
      <c r="S33" s="9"/>
    </row>
    <row r="34" spans="1:20" ht="21" customHeight="1" thickBot="1" x14ac:dyDescent="0.35">
      <c r="A34" s="98"/>
      <c r="B34" s="99"/>
      <c r="C34" s="99"/>
      <c r="D34" s="99"/>
      <c r="E34" s="99"/>
      <c r="F34" s="99"/>
      <c r="G34" s="82" t="s">
        <v>357</v>
      </c>
      <c r="H34" s="83"/>
      <c r="I34" s="83"/>
      <c r="J34" s="83"/>
      <c r="K34" s="158"/>
      <c r="L34" s="115"/>
      <c r="M34" s="86"/>
      <c r="N34" s="86"/>
      <c r="O34" s="86"/>
      <c r="P34" s="87"/>
      <c r="Q34" s="179">
        <v>4</v>
      </c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thickBot="1" x14ac:dyDescent="0.35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thickBot="1" x14ac:dyDescent="0.35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80"/>
      <c r="Q38" s="181">
        <f>SUM(Q14,Q20:R24,Q26:R29,Q31:R34,Q35:R37)</f>
        <v>28</v>
      </c>
      <c r="R38" s="18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thickBot="1" x14ac:dyDescent="0.35">
      <c r="A42" s="60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thickBot="1" x14ac:dyDescent="0.35">
      <c r="A43" s="60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54.75" customHeight="1" thickBot="1" x14ac:dyDescent="0.35">
      <c r="A44" s="60" t="s">
        <v>42</v>
      </c>
      <c r="B44" s="61"/>
      <c r="C44" s="61"/>
      <c r="D44" s="61"/>
      <c r="E44" s="61"/>
      <c r="F44" s="62"/>
      <c r="G44" s="66" t="s">
        <v>444</v>
      </c>
      <c r="H44" s="67"/>
      <c r="I44" s="66" t="s">
        <v>444</v>
      </c>
      <c r="J44" s="67"/>
      <c r="K44" s="66" t="s">
        <v>445</v>
      </c>
      <c r="L44" s="67"/>
      <c r="M44" s="64"/>
      <c r="N44" s="65"/>
      <c r="O44" s="64"/>
      <c r="P44" s="65"/>
      <c r="Q44" s="63"/>
      <c r="R44" s="62"/>
      <c r="S44" s="9"/>
    </row>
    <row r="45" spans="1:20" ht="54.75" customHeight="1" thickBot="1" x14ac:dyDescent="0.35">
      <c r="A45" s="60" t="s">
        <v>43</v>
      </c>
      <c r="B45" s="61"/>
      <c r="C45" s="61"/>
      <c r="D45" s="61"/>
      <c r="E45" s="61"/>
      <c r="F45" s="62"/>
      <c r="G45" s="66" t="s">
        <v>444</v>
      </c>
      <c r="H45" s="67"/>
      <c r="I45" s="66" t="s">
        <v>444</v>
      </c>
      <c r="J45" s="67"/>
      <c r="K45" s="66" t="s">
        <v>444</v>
      </c>
      <c r="L45" s="67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60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60" t="s">
        <v>45</v>
      </c>
      <c r="B47" s="61"/>
      <c r="C47" s="61"/>
      <c r="D47" s="61"/>
      <c r="E47" s="61"/>
      <c r="F47" s="62"/>
      <c r="G47" s="66" t="s">
        <v>445</v>
      </c>
      <c r="H47" s="67"/>
      <c r="I47" s="66" t="s">
        <v>445</v>
      </c>
      <c r="J47" s="67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60" t="s">
        <v>46</v>
      </c>
      <c r="B48" s="61"/>
      <c r="C48" s="61"/>
      <c r="D48" s="61"/>
      <c r="E48" s="61"/>
      <c r="F48" s="62"/>
      <c r="G48" s="66" t="s">
        <v>445</v>
      </c>
      <c r="H48" s="67"/>
      <c r="I48" s="66" t="s">
        <v>445</v>
      </c>
      <c r="J48" s="67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60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thickBot="1" x14ac:dyDescent="0.35">
      <c r="A51" s="60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60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60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60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60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HIDALGO BAEZA MARÍA DEL CARMEN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19" priority="1" operator="equal">
      <formula>0</formula>
    </cfRule>
  </conditionalFormatting>
  <conditionalFormatting sqref="M14:R18">
    <cfRule type="cellIs" dxfId="18" priority="2" operator="equal">
      <formula>0</formula>
    </cfRule>
  </conditionalFormatting>
  <dataValidations count="3">
    <dataValidation type="list" allowBlank="1" sqref="I42:I56 G42:G56 M42:M56 Q57:R57 O42:O56 Q42:Q56 K42:K56" xr:uid="{00000000-0002-0000-0600-000000000000}">
      <formula1>$S$14:$S$19</formula1>
    </dataValidation>
    <dataValidation type="list" allowBlank="1" sqref="G20:G22" xr:uid="{00000000-0002-0000-0600-000001000000}">
      <formula1>$L$14:$L$18</formula1>
    </dataValidation>
    <dataValidation type="list" allowBlank="1" showErrorMessage="1" sqref="G23:G24" xr:uid="{00000000-0002-0000-06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6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FFFF00"/>
    <pageSetUpPr fitToPage="1"/>
  </sheetPr>
  <dimension ref="A1:Z1000"/>
  <sheetViews>
    <sheetView view="pageBreakPreview" zoomScale="40" zoomScaleNormal="1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4">
      <c r="A4" s="168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86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87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116" t="s">
        <v>365</v>
      </c>
      <c r="H21" s="183"/>
      <c r="I21" s="183"/>
      <c r="J21" s="183"/>
      <c r="K21" s="184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178"/>
      <c r="H22" s="183"/>
      <c r="I22" s="183"/>
      <c r="J22" s="183"/>
      <c r="K22" s="18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x14ac:dyDescent="0.3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 t="s">
        <v>88</v>
      </c>
      <c r="H26" s="73"/>
      <c r="I26" s="73"/>
      <c r="J26" s="73"/>
      <c r="K26" s="74"/>
      <c r="L26" s="88"/>
      <c r="M26" s="73"/>
      <c r="N26" s="73"/>
      <c r="O26" s="73"/>
      <c r="P26" s="89"/>
      <c r="Q26" s="76">
        <v>6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6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78">
        <v>6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108"/>
      <c r="H35" s="109"/>
      <c r="I35" s="109"/>
      <c r="J35" s="109"/>
      <c r="K35" s="110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20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75" t="s">
        <v>36</v>
      </c>
      <c r="L41" s="62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4"/>
      <c r="H42" s="65"/>
      <c r="I42" s="64"/>
      <c r="J42" s="65"/>
      <c r="K42" s="64"/>
      <c r="L42" s="65"/>
      <c r="M42" s="64"/>
      <c r="N42" s="65"/>
      <c r="O42" s="64"/>
      <c r="P42" s="65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54.75" customHeight="1" thickBot="1" x14ac:dyDescent="0.35">
      <c r="A44" s="162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4"/>
      <c r="P44" s="65"/>
      <c r="Q44" s="63"/>
      <c r="R44" s="62"/>
      <c r="S44" s="9"/>
    </row>
    <row r="45" spans="1:20" ht="54.75" customHeight="1" thickBot="1" x14ac:dyDescent="0.35">
      <c r="A45" s="162" t="s">
        <v>43</v>
      </c>
      <c r="B45" s="61"/>
      <c r="C45" s="61"/>
      <c r="D45" s="61"/>
      <c r="E45" s="61"/>
      <c r="F45" s="62"/>
      <c r="G45" s="64"/>
      <c r="H45" s="65"/>
      <c r="I45" s="64"/>
      <c r="J45" s="65"/>
      <c r="K45" s="64"/>
      <c r="L45" s="65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162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x14ac:dyDescent="0.3">
      <c r="A50" s="162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63"/>
      <c r="L50" s="62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162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162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162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162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MARQUEZ SÁNCHEZ DANIEL MAURICIO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17" priority="1" operator="equal">
      <formula>0</formula>
    </cfRule>
  </conditionalFormatting>
  <conditionalFormatting sqref="M14:R18">
    <cfRule type="cellIs" dxfId="16" priority="2" operator="equal">
      <formula>0</formula>
    </cfRule>
  </conditionalFormatting>
  <conditionalFormatting sqref="Q38:R38">
    <cfRule type="cellIs" dxfId="15" priority="3" operator="equal">
      <formula>0</formula>
    </cfRule>
  </conditionalFormatting>
  <dataValidations count="3">
    <dataValidation type="list" allowBlank="1" sqref="I42:I56 Q57:R57 G42:G56 K42:K56 O42:O56 Q42:Q56 M42:M56" xr:uid="{00000000-0002-0000-0700-000000000000}">
      <formula1>$S$14:$S$19</formula1>
    </dataValidation>
    <dataValidation type="list" allowBlank="1" sqref="G20 G21:K21" xr:uid="{00000000-0002-0000-0700-000001000000}">
      <formula1>$L$14:$L$18</formula1>
    </dataValidation>
    <dataValidation type="list" allowBlank="1" showErrorMessage="1" sqref="G22:G24" xr:uid="{00000000-0002-0000-07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7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00B0F0"/>
    <pageSetUpPr fitToPage="1"/>
  </sheetPr>
  <dimension ref="A1:Z1000"/>
  <sheetViews>
    <sheetView tabSelected="1" view="pageBreakPreview" topLeftCell="A11" zoomScale="40" zoomScaleNormal="30" zoomScaleSheetLayoutView="40" workbookViewId="0">
      <selection activeCell="K47" sqref="K47:L48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33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34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35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89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390</v>
      </c>
      <c r="H14" s="73"/>
      <c r="I14" s="73"/>
      <c r="J14" s="74"/>
      <c r="K14" s="10" t="str">
        <f t="array" ref="K14">INDEX(z_4_Materias2!B9:B141, MATCH(G14, z_4_Materias2!A9:A141, 0))</f>
        <v>24CD021</v>
      </c>
      <c r="L14" s="10" t="s">
        <v>437</v>
      </c>
      <c r="M14" s="139">
        <f t="array" ref="M14">INDEX(z_4_Materias2!D9:D141, MATCH(G14, z_4_Materias2!A9:A141, 0))</f>
        <v>4</v>
      </c>
      <c r="N14" s="73"/>
      <c r="O14" s="73"/>
      <c r="P14" s="74"/>
      <c r="Q14" s="149">
        <f>SUM(M14:P18)</f>
        <v>8</v>
      </c>
      <c r="R14" s="125"/>
      <c r="S14" s="9" t="str">
        <f t="shared" ref="S14:S18" si="0">G14&amp;" "&amp;L14</f>
        <v>Proyecto Integrador I* CD301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432</v>
      </c>
      <c r="H15" s="73"/>
      <c r="I15" s="73"/>
      <c r="J15" s="74"/>
      <c r="K15" s="10" t="str">
        <f t="array" ref="K15">INDEX(z_4_Materias2!B10:B141, MATCH(G15, z_4_Materias2!A10:A141, 0))</f>
        <v>24IRD021</v>
      </c>
      <c r="L15" s="10" t="s">
        <v>439</v>
      </c>
      <c r="M15" s="139">
        <f t="array" ref="M15">INDEX(z_4_Materias2!D9:D141, MATCH(G15, z_4_Materias2!A9:A141, 0))</f>
        <v>4</v>
      </c>
      <c r="N15" s="73"/>
      <c r="O15" s="73"/>
      <c r="P15" s="74"/>
      <c r="Q15" s="96"/>
      <c r="R15" s="106"/>
      <c r="S15" s="9" t="str">
        <f t="shared" si="0"/>
        <v>Proyecto Integrador I_ IRD302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19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6" t="s">
        <v>61</v>
      </c>
      <c r="H21" s="57"/>
      <c r="I21" s="57"/>
      <c r="J21" s="57"/>
      <c r="K21" s="77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8"/>
      <c r="H22" s="73"/>
      <c r="I22" s="73"/>
      <c r="J22" s="73"/>
      <c r="K22" s="7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 t="s">
        <v>88</v>
      </c>
      <c r="H26" s="73"/>
      <c r="I26" s="73"/>
      <c r="J26" s="73"/>
      <c r="K26" s="74"/>
      <c r="L26" s="88"/>
      <c r="M26" s="73"/>
      <c r="N26" s="73"/>
      <c r="O26" s="73"/>
      <c r="P26" s="89"/>
      <c r="Q26" s="76">
        <v>5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5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6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26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4.25" customHeight="1" x14ac:dyDescent="0.3">
      <c r="A40" s="129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thickBot="1" x14ac:dyDescent="0.35">
      <c r="A41" s="119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thickBot="1" x14ac:dyDescent="0.35">
      <c r="A42" s="60" t="s">
        <v>40</v>
      </c>
      <c r="B42" s="61"/>
      <c r="C42" s="61"/>
      <c r="D42" s="61"/>
      <c r="E42" s="61"/>
      <c r="F42" s="62"/>
      <c r="G42" s="66" t="s">
        <v>446</v>
      </c>
      <c r="H42" s="67"/>
      <c r="I42" s="64"/>
      <c r="J42" s="65"/>
      <c r="K42" s="64"/>
      <c r="L42" s="65"/>
      <c r="M42" s="66" t="s">
        <v>446</v>
      </c>
      <c r="N42" s="67"/>
      <c r="O42" s="64"/>
      <c r="P42" s="65"/>
      <c r="Q42" s="63"/>
      <c r="R42" s="62"/>
      <c r="S42" s="9"/>
    </row>
    <row r="43" spans="1:20" ht="54.75" customHeight="1" thickBot="1" x14ac:dyDescent="0.35">
      <c r="A43" s="60" t="s">
        <v>41</v>
      </c>
      <c r="B43" s="61"/>
      <c r="C43" s="61"/>
      <c r="D43" s="61"/>
      <c r="E43" s="61"/>
      <c r="F43" s="62"/>
      <c r="G43" s="66" t="s">
        <v>446</v>
      </c>
      <c r="H43" s="67"/>
      <c r="I43" s="64"/>
      <c r="J43" s="65"/>
      <c r="K43" s="64"/>
      <c r="L43" s="65"/>
      <c r="M43" s="66" t="s">
        <v>446</v>
      </c>
      <c r="N43" s="67"/>
      <c r="O43" s="64"/>
      <c r="P43" s="65"/>
      <c r="Q43" s="63"/>
      <c r="R43" s="62"/>
      <c r="S43" s="9"/>
    </row>
    <row r="44" spans="1:20" ht="54.75" customHeight="1" thickBot="1" x14ac:dyDescent="0.35">
      <c r="A44" s="60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4"/>
      <c r="P44" s="65"/>
      <c r="Q44" s="63"/>
      <c r="R44" s="62"/>
      <c r="S44" s="9"/>
    </row>
    <row r="45" spans="1:20" ht="54.75" customHeight="1" thickBot="1" x14ac:dyDescent="0.35">
      <c r="A45" s="60" t="s">
        <v>43</v>
      </c>
      <c r="B45" s="61"/>
      <c r="C45" s="61"/>
      <c r="D45" s="61"/>
      <c r="E45" s="61"/>
      <c r="F45" s="62"/>
      <c r="G45" s="64"/>
      <c r="H45" s="65"/>
      <c r="I45" s="64"/>
      <c r="J45" s="65"/>
      <c r="K45" s="64"/>
      <c r="L45" s="65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60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60" t="s">
        <v>45</v>
      </c>
      <c r="B47" s="61"/>
      <c r="C47" s="61"/>
      <c r="D47" s="61"/>
      <c r="E47" s="61"/>
      <c r="F47" s="62"/>
      <c r="G47" s="66" t="s">
        <v>447</v>
      </c>
      <c r="H47" s="67"/>
      <c r="I47" s="68"/>
      <c r="J47" s="69"/>
      <c r="K47" s="66" t="s">
        <v>447</v>
      </c>
      <c r="L47" s="67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60" t="s">
        <v>46</v>
      </c>
      <c r="B48" s="61"/>
      <c r="C48" s="61"/>
      <c r="D48" s="61"/>
      <c r="E48" s="61"/>
      <c r="F48" s="62"/>
      <c r="G48" s="66" t="s">
        <v>447</v>
      </c>
      <c r="H48" s="67"/>
      <c r="I48" s="68"/>
      <c r="J48" s="69"/>
      <c r="K48" s="66" t="s">
        <v>447</v>
      </c>
      <c r="L48" s="67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60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60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63"/>
      <c r="L50" s="62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60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60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60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60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60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60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5"/>
      <c r="L57" s="45"/>
      <c r="M57" s="44"/>
      <c r="N57" s="44"/>
      <c r="O57" s="44"/>
      <c r="P57" s="44"/>
      <c r="Q57" s="42"/>
      <c r="R57" s="42"/>
    </row>
    <row r="58" spans="1:19" ht="12.75" customHeight="1" x14ac:dyDescent="0.35">
      <c r="A58" s="54" t="s">
        <v>55</v>
      </c>
      <c r="B58" s="55"/>
      <c r="C58" s="55"/>
      <c r="D58" s="55"/>
      <c r="E58" s="55"/>
      <c r="F58" s="55"/>
      <c r="G58" s="55"/>
      <c r="H58" s="55"/>
      <c r="I58" s="41"/>
      <c r="J58" s="41"/>
      <c r="K58" s="41"/>
      <c r="L58" s="54" t="s">
        <v>55</v>
      </c>
      <c r="M58" s="55"/>
      <c r="N58" s="55"/>
      <c r="O58" s="55"/>
      <c r="P58" s="55"/>
      <c r="Q58" s="55"/>
      <c r="R58" s="46"/>
    </row>
    <row r="59" spans="1:19" ht="12.75" customHeight="1" x14ac:dyDescent="0.35">
      <c r="A59" s="41"/>
      <c r="B59" s="41"/>
      <c r="C59" s="45"/>
      <c r="D59" s="44"/>
      <c r="E59" s="44"/>
      <c r="F59" s="45"/>
      <c r="G59" s="45"/>
      <c r="H59" s="41"/>
      <c r="I59" s="41"/>
      <c r="J59" s="41"/>
      <c r="K59" s="41"/>
      <c r="L59" s="41"/>
      <c r="M59" s="41"/>
      <c r="N59" s="41"/>
      <c r="O59" s="44"/>
      <c r="P59" s="45"/>
      <c r="Q59" s="45"/>
      <c r="R59" s="45"/>
    </row>
    <row r="60" spans="1:19" ht="12.75" customHeight="1" x14ac:dyDescent="0.35">
      <c r="A60" s="41"/>
      <c r="B60" s="41"/>
      <c r="C60" s="41"/>
      <c r="D60" s="41"/>
      <c r="E60" s="41"/>
      <c r="F60" s="44"/>
      <c r="G60" s="44"/>
      <c r="H60" s="41"/>
      <c r="I60" s="41"/>
      <c r="J60" s="41"/>
      <c r="K60" s="41"/>
      <c r="L60" s="41"/>
      <c r="M60" s="41"/>
      <c r="N60" s="41"/>
      <c r="O60" s="41"/>
      <c r="P60" s="44"/>
      <c r="Q60" s="44"/>
      <c r="R60" s="1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MONDRAGÓN DIEGO JOSÉ LUIS</v>
      </c>
      <c r="M61" s="57"/>
      <c r="N61" s="57"/>
      <c r="O61" s="57"/>
      <c r="P61" s="57"/>
      <c r="Q61" s="47"/>
      <c r="R61" s="48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42"/>
      <c r="R62" s="49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14" priority="1" operator="equal">
      <formula>0</formula>
    </cfRule>
  </conditionalFormatting>
  <conditionalFormatting sqref="M14:R18">
    <cfRule type="cellIs" dxfId="13" priority="2" operator="equal">
      <formula>0</formula>
    </cfRule>
  </conditionalFormatting>
  <conditionalFormatting sqref="Q38:R38">
    <cfRule type="cellIs" dxfId="12" priority="3" operator="equal">
      <formula>0</formula>
    </cfRule>
  </conditionalFormatting>
  <dataValidations count="3">
    <dataValidation type="list" allowBlank="1" sqref="M42:M56 Q57:R57 I42:I56 G42:G56 O42:O56 Q42:Q56 K42:K56" xr:uid="{00000000-0002-0000-0800-000000000000}">
      <formula1>$S$14:$S$19</formula1>
    </dataValidation>
    <dataValidation type="list" allowBlank="1" sqref="G20" xr:uid="{00000000-0002-0000-0800-000001000000}">
      <formula1>$L$14:$L$18</formula1>
    </dataValidation>
    <dataValidation type="list" allowBlank="1" showErrorMessage="1" sqref="G23:G24" xr:uid="{00000000-0002-0000-08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8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FF00"/>
    <pageSetUpPr fitToPage="1"/>
  </sheetPr>
  <dimension ref="A1:Z1000"/>
  <sheetViews>
    <sheetView view="pageBreakPreview" topLeftCell="A2" zoomScale="40" zoomScaleNormal="3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21.664062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91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360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INDEX(z_4_Materias2!D1:D141, MATCH(G14, z_4_Materias2!A1:A141,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INDEX(z_4_Materias2!B9:B141, MATCH(G15, z_4_Materias2!A9:A141, 0))</f>
        <v>0</v>
      </c>
      <c r="L15" s="10"/>
      <c r="M15" s="139">
        <f t="array" ref="M15">INDEX(z_4_Materias2!D1:D141, MATCH(G15, z_4_Materias2!A1:A141,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INDEX(z_4_Materias2!B9:B141, MATCH(G16, z_4_Materias2!A9:A141, 0))</f>
        <v>0</v>
      </c>
      <c r="L16" s="10"/>
      <c r="M16" s="139">
        <f t="array" ref="M16">INDEX(z_4_Materias2!D1:D141, MATCH(G16, z_4_Materias2!A1:A141,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INDEX(z_4_Materias2!B9:B141, MATCH(G17, z_4_Materias2!A9:A141, 0))</f>
        <v>0</v>
      </c>
      <c r="L17" s="10"/>
      <c r="M17" s="139">
        <f t="array" ref="M17">INDEX(z_4_Materias2!D1:D141, MATCH(G17, z_4_Materias2!A1:A141,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INDEX(z_4_Materias2!B9:B141, MATCH(G18, z_4_Materias2!A9:A141, 0))</f>
        <v>0</v>
      </c>
      <c r="L18" s="10"/>
      <c r="M18" s="150">
        <f t="array" ref="M18">INDEX(z_4_Materias2!D1:D141, MATCH(G18, z_4_Materias2!A1:A141,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93</v>
      </c>
      <c r="H20" s="57"/>
      <c r="I20" s="57"/>
      <c r="J20" s="57"/>
      <c r="K20" s="77"/>
      <c r="L20" s="155"/>
      <c r="M20" s="55"/>
      <c r="N20" s="55"/>
      <c r="O20" s="55"/>
      <c r="P20" s="106"/>
      <c r="Q20" s="111">
        <v>1</v>
      </c>
      <c r="R20" s="110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116" t="s">
        <v>94</v>
      </c>
      <c r="H21" s="185"/>
      <c r="I21" s="185"/>
      <c r="J21" s="185"/>
      <c r="K21" s="186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116" t="s">
        <v>95</v>
      </c>
      <c r="H22" s="185"/>
      <c r="I22" s="185"/>
      <c r="J22" s="185"/>
      <c r="K22" s="186"/>
      <c r="L22" s="126"/>
      <c r="M22" s="124"/>
      <c r="N22" s="124"/>
      <c r="O22" s="124"/>
      <c r="P22" s="125"/>
      <c r="Q22" s="116">
        <v>1</v>
      </c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 t="s">
        <v>88</v>
      </c>
      <c r="H26" s="73"/>
      <c r="I26" s="73"/>
      <c r="J26" s="73"/>
      <c r="K26" s="74"/>
      <c r="L26" s="88"/>
      <c r="M26" s="73"/>
      <c r="N26" s="73"/>
      <c r="O26" s="73"/>
      <c r="P26" s="89"/>
      <c r="Q26" s="76">
        <v>5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5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6">
        <v>6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108"/>
      <c r="H35" s="109"/>
      <c r="I35" s="109"/>
      <c r="J35" s="109"/>
      <c r="K35" s="110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19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75" t="s">
        <v>36</v>
      </c>
      <c r="L41" s="62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3"/>
      <c r="H43" s="62"/>
      <c r="I43" s="63"/>
      <c r="J43" s="62"/>
      <c r="K43" s="63"/>
      <c r="L43" s="62"/>
      <c r="M43" s="63"/>
      <c r="N43" s="62"/>
      <c r="O43" s="63"/>
      <c r="P43" s="62"/>
      <c r="Q43" s="63"/>
      <c r="R43" s="62"/>
      <c r="S43" s="9"/>
    </row>
    <row r="44" spans="1:20" ht="54.75" customHeight="1" x14ac:dyDescent="0.3">
      <c r="A44" s="162" t="s">
        <v>42</v>
      </c>
      <c r="B44" s="61"/>
      <c r="C44" s="61"/>
      <c r="D44" s="61"/>
      <c r="E44" s="61"/>
      <c r="F44" s="62"/>
      <c r="G44" s="63"/>
      <c r="H44" s="62"/>
      <c r="I44" s="63"/>
      <c r="J44" s="62"/>
      <c r="K44" s="63"/>
      <c r="L44" s="62"/>
      <c r="M44" s="63"/>
      <c r="N44" s="62"/>
      <c r="O44" s="63"/>
      <c r="P44" s="62"/>
      <c r="Q44" s="63"/>
      <c r="R44" s="62"/>
      <c r="S44" s="9"/>
    </row>
    <row r="45" spans="1:20" ht="54.75" customHeight="1" x14ac:dyDescent="0.3">
      <c r="A45" s="162" t="s">
        <v>43</v>
      </c>
      <c r="B45" s="61"/>
      <c r="C45" s="61"/>
      <c r="D45" s="61"/>
      <c r="E45" s="61"/>
      <c r="F45" s="62"/>
      <c r="G45" s="63"/>
      <c r="H45" s="62"/>
      <c r="I45" s="63"/>
      <c r="J45" s="62"/>
      <c r="K45" s="63"/>
      <c r="L45" s="62"/>
      <c r="M45" s="63"/>
      <c r="N45" s="62"/>
      <c r="O45" s="63"/>
      <c r="P45" s="62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3"/>
      <c r="H46" s="62"/>
      <c r="I46" s="63"/>
      <c r="J46" s="62"/>
      <c r="K46" s="63"/>
      <c r="L46" s="62"/>
      <c r="M46" s="63"/>
      <c r="N46" s="62"/>
      <c r="O46" s="63"/>
      <c r="P46" s="62"/>
      <c r="Q46" s="63"/>
      <c r="R46" s="62"/>
      <c r="S46" s="9"/>
    </row>
    <row r="47" spans="1:20" ht="54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162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162" t="s">
        <v>48</v>
      </c>
      <c r="B50" s="61"/>
      <c r="C50" s="61"/>
      <c r="D50" s="61"/>
      <c r="E50" s="61"/>
      <c r="F50" s="62"/>
      <c r="G50" s="64"/>
      <c r="H50" s="65"/>
      <c r="I50" s="64"/>
      <c r="J50" s="65"/>
      <c r="K50" s="64"/>
      <c r="L50" s="65"/>
      <c r="M50" s="64"/>
      <c r="N50" s="65"/>
      <c r="O50" s="64"/>
      <c r="P50" s="65"/>
      <c r="Q50" s="63"/>
      <c r="R50" s="62"/>
      <c r="S50" s="9"/>
    </row>
    <row r="51" spans="1:19" ht="54.75" customHeight="1" thickBot="1" x14ac:dyDescent="0.35">
      <c r="A51" s="162" t="s">
        <v>49</v>
      </c>
      <c r="B51" s="61"/>
      <c r="C51" s="61"/>
      <c r="D51" s="61"/>
      <c r="E51" s="61"/>
      <c r="F51" s="62"/>
      <c r="G51" s="64"/>
      <c r="H51" s="65"/>
      <c r="I51" s="64"/>
      <c r="J51" s="65"/>
      <c r="K51" s="64"/>
      <c r="L51" s="65"/>
      <c r="M51" s="64"/>
      <c r="N51" s="65"/>
      <c r="O51" s="64"/>
      <c r="P51" s="65"/>
      <c r="Q51" s="63"/>
      <c r="R51" s="62"/>
      <c r="S51" s="9"/>
    </row>
    <row r="52" spans="1:19" ht="54.75" customHeight="1" thickBot="1" x14ac:dyDescent="0.35">
      <c r="A52" s="162" t="s">
        <v>50</v>
      </c>
      <c r="B52" s="61"/>
      <c r="C52" s="61"/>
      <c r="D52" s="61"/>
      <c r="E52" s="61"/>
      <c r="F52" s="62"/>
      <c r="G52" s="64"/>
      <c r="H52" s="65"/>
      <c r="I52" s="64"/>
      <c r="J52" s="65"/>
      <c r="K52" s="64"/>
      <c r="L52" s="65"/>
      <c r="M52" s="64"/>
      <c r="N52" s="65"/>
      <c r="O52" s="64"/>
      <c r="P52" s="65"/>
      <c r="Q52" s="63"/>
      <c r="R52" s="62"/>
      <c r="S52" s="9"/>
    </row>
    <row r="53" spans="1:19" ht="54.75" customHeight="1" thickBot="1" x14ac:dyDescent="0.35">
      <c r="A53" s="162" t="s">
        <v>51</v>
      </c>
      <c r="B53" s="61"/>
      <c r="C53" s="61"/>
      <c r="D53" s="61"/>
      <c r="E53" s="61"/>
      <c r="F53" s="62"/>
      <c r="G53" s="64"/>
      <c r="H53" s="65"/>
      <c r="I53" s="64"/>
      <c r="J53" s="65"/>
      <c r="K53" s="64"/>
      <c r="L53" s="65"/>
      <c r="M53" s="64"/>
      <c r="N53" s="65"/>
      <c r="O53" s="64"/>
      <c r="P53" s="65"/>
      <c r="Q53" s="63"/>
      <c r="R53" s="62"/>
      <c r="S53" s="9"/>
    </row>
    <row r="54" spans="1:19" ht="54.75" customHeight="1" thickBot="1" x14ac:dyDescent="0.35">
      <c r="A54" s="162" t="s">
        <v>52</v>
      </c>
      <c r="B54" s="61"/>
      <c r="C54" s="61"/>
      <c r="D54" s="61"/>
      <c r="E54" s="61"/>
      <c r="F54" s="62"/>
      <c r="G54" s="64"/>
      <c r="H54" s="65"/>
      <c r="I54" s="64"/>
      <c r="J54" s="65"/>
      <c r="K54" s="64"/>
      <c r="L54" s="65"/>
      <c r="M54" s="64"/>
      <c r="N54" s="65"/>
      <c r="O54" s="64"/>
      <c r="P54" s="65"/>
      <c r="Q54" s="63"/>
      <c r="R54" s="62"/>
      <c r="S54" s="9"/>
    </row>
    <row r="55" spans="1:19" ht="54.75" customHeight="1" thickBot="1" x14ac:dyDescent="0.35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thickBot="1" x14ac:dyDescent="0.35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MORENO LOAIZA CAROLINA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I54:J54"/>
    <mergeCell ref="K54:L54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G49:H49"/>
    <mergeCell ref="I49:J49"/>
    <mergeCell ref="K49:L49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G50:H50"/>
    <mergeCell ref="I50:J50"/>
    <mergeCell ref="K50:L50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A52:F52"/>
    <mergeCell ref="G52:H52"/>
    <mergeCell ref="I52:J52"/>
    <mergeCell ref="K52:L52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11" priority="1" operator="equal">
      <formula>0</formula>
    </cfRule>
  </conditionalFormatting>
  <conditionalFormatting sqref="M14:M18 Q14:R18">
    <cfRule type="cellIs" dxfId="10" priority="2" operator="equal">
      <formula>0</formula>
    </cfRule>
  </conditionalFormatting>
  <conditionalFormatting sqref="Q38:R38">
    <cfRule type="cellIs" dxfId="9" priority="3" operator="equal">
      <formula>0</formula>
    </cfRule>
  </conditionalFormatting>
  <dataValidations count="3">
    <dataValidation type="list" allowBlank="1" sqref="K42:K56 Q57:R57 G42:G56 I42:I56 Q42:Q56 M42:M56 O42:O56" xr:uid="{00000000-0002-0000-0900-000000000000}">
      <formula1>$S$14:$S$19</formula1>
    </dataValidation>
    <dataValidation type="list" allowBlank="1" sqref="G20" xr:uid="{00000000-0002-0000-0900-000001000000}">
      <formula1>$L$14:$L$18</formula1>
    </dataValidation>
    <dataValidation type="list" allowBlank="1" showErrorMessage="1" sqref="G21:G24" xr:uid="{00000000-0002-0000-0900-000002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4000000}">
          <x14:formula1>
            <xm:f>z_2_Maestros!$B$2:$B$36</xm:f>
          </x14:formula1>
          <xm:sqref>A9</xm:sqref>
        </x14:dataValidation>
        <x14:dataValidation type="list" allowBlank="1" showErrorMessage="1" xr:uid="{00000000-0002-0000-0900-000003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FFFF00"/>
    <pageSetUpPr fitToPage="1"/>
  </sheetPr>
  <dimension ref="A1:Z1000"/>
  <sheetViews>
    <sheetView view="pageBreakPreview" zoomScale="40" zoomScaleNormal="30" zoomScaleSheetLayoutView="40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21.3320312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96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360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56" t="s">
        <v>11</v>
      </c>
      <c r="H13" s="109"/>
      <c r="I13" s="109"/>
      <c r="J13" s="110"/>
      <c r="K13" s="43" t="s">
        <v>12</v>
      </c>
      <c r="L13" s="43" t="s">
        <v>13</v>
      </c>
      <c r="M13" s="148" t="s">
        <v>14</v>
      </c>
      <c r="N13" s="109"/>
      <c r="O13" s="109"/>
      <c r="P13" s="110"/>
      <c r="Q13" s="148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>
        <f t="array" ref="K17">INDEX(z_4_Materias2!B12:B141, MATCH(G17, z_4_Materias2!A12:A141, 0))</f>
        <v>0</v>
      </c>
      <c r="L17" s="10"/>
      <c r="M17" s="139">
        <f t="array" ref="M17">INDEX(z_4_Materias2!D9:D141, MATCH(G17, z_4_Materias2!A9:A141, 0))</f>
        <v>0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>
        <f t="array" ref="K18">INDEX(z_4_Materias2!B13:B141, MATCH(G18, z_4_Materias2!A13:A141, 0))</f>
        <v>0</v>
      </c>
      <c r="L18" s="10"/>
      <c r="M18" s="150">
        <f t="array" ref="M18">INDEX(z_4_Materias2!D9:D141, MATCH(G18, z_4_Materias2!A9:A141, 0))</f>
        <v>0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76" t="s">
        <v>71</v>
      </c>
      <c r="H20" s="57"/>
      <c r="I20" s="57"/>
      <c r="J20" s="57"/>
      <c r="K20" s="77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116" t="s">
        <v>99</v>
      </c>
      <c r="H21" s="183"/>
      <c r="I21" s="183"/>
      <c r="J21" s="183"/>
      <c r="K21" s="184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116" t="s">
        <v>101</v>
      </c>
      <c r="H22" s="183"/>
      <c r="I22" s="183"/>
      <c r="J22" s="183"/>
      <c r="K22" s="184"/>
      <c r="L22" s="126"/>
      <c r="M22" s="124"/>
      <c r="N22" s="124"/>
      <c r="O22" s="124"/>
      <c r="P22" s="125"/>
      <c r="Q22" s="116">
        <v>1</v>
      </c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thickBot="1" x14ac:dyDescent="0.35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75" t="s">
        <v>24</v>
      </c>
      <c r="R25" s="62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 t="s">
        <v>88</v>
      </c>
      <c r="H26" s="73"/>
      <c r="I26" s="73"/>
      <c r="J26" s="73"/>
      <c r="K26" s="74"/>
      <c r="L26" s="88"/>
      <c r="M26" s="73"/>
      <c r="N26" s="73"/>
      <c r="O26" s="73"/>
      <c r="P26" s="89"/>
      <c r="Q26" s="76">
        <v>5</v>
      </c>
      <c r="R26" s="77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82" t="s">
        <v>358</v>
      </c>
      <c r="H31" s="83"/>
      <c r="I31" s="83"/>
      <c r="J31" s="83"/>
      <c r="K31" s="158"/>
      <c r="L31" s="108"/>
      <c r="M31" s="109"/>
      <c r="N31" s="109"/>
      <c r="O31" s="109"/>
      <c r="P31" s="110"/>
      <c r="Q31" s="111">
        <v>3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82" t="s">
        <v>355</v>
      </c>
      <c r="H32" s="83"/>
      <c r="I32" s="83"/>
      <c r="J32" s="83"/>
      <c r="K32" s="158"/>
      <c r="L32" s="88"/>
      <c r="M32" s="73"/>
      <c r="N32" s="73"/>
      <c r="O32" s="73"/>
      <c r="P32" s="74"/>
      <c r="Q32" s="116">
        <v>3</v>
      </c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2" t="s">
        <v>357</v>
      </c>
      <c r="H33" s="83"/>
      <c r="I33" s="83"/>
      <c r="J33" s="83"/>
      <c r="K33" s="158"/>
      <c r="L33" s="88"/>
      <c r="M33" s="73"/>
      <c r="N33" s="73"/>
      <c r="O33" s="73"/>
      <c r="P33" s="74"/>
      <c r="Q33" s="116">
        <v>5</v>
      </c>
      <c r="R33" s="74"/>
      <c r="S33" s="9"/>
    </row>
    <row r="34" spans="1:20" ht="21" customHeight="1" thickBot="1" x14ac:dyDescent="0.35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88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108"/>
      <c r="H36" s="109"/>
      <c r="I36" s="109"/>
      <c r="J36" s="109"/>
      <c r="K36" s="110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19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18" t="s">
        <v>34</v>
      </c>
      <c r="H41" s="105"/>
      <c r="I41" s="119" t="s">
        <v>35</v>
      </c>
      <c r="J41" s="105"/>
      <c r="K41" s="120" t="s">
        <v>36</v>
      </c>
      <c r="L41" s="62"/>
      <c r="M41" s="119" t="s">
        <v>37</v>
      </c>
      <c r="N41" s="94"/>
      <c r="O41" s="119" t="s">
        <v>38</v>
      </c>
      <c r="P41" s="105"/>
      <c r="Q41" s="119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63"/>
      <c r="L42" s="62"/>
      <c r="M42" s="63"/>
      <c r="N42" s="62"/>
      <c r="O42" s="63"/>
      <c r="P42" s="62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3"/>
      <c r="H43" s="62"/>
      <c r="I43" s="63"/>
      <c r="J43" s="62"/>
      <c r="K43" s="63"/>
      <c r="L43" s="62"/>
      <c r="M43" s="63"/>
      <c r="N43" s="62"/>
      <c r="O43" s="63"/>
      <c r="P43" s="62"/>
      <c r="Q43" s="63"/>
      <c r="R43" s="62"/>
      <c r="S43" s="9"/>
    </row>
    <row r="44" spans="1:20" ht="54.75" customHeight="1" x14ac:dyDescent="0.3">
      <c r="A44" s="162" t="s">
        <v>42</v>
      </c>
      <c r="B44" s="61"/>
      <c r="C44" s="61"/>
      <c r="D44" s="61"/>
      <c r="E44" s="61"/>
      <c r="F44" s="62"/>
      <c r="G44" s="63"/>
      <c r="H44" s="62"/>
      <c r="I44" s="63"/>
      <c r="J44" s="62"/>
      <c r="K44" s="63"/>
      <c r="L44" s="62"/>
      <c r="M44" s="63"/>
      <c r="N44" s="62"/>
      <c r="O44" s="63"/>
      <c r="P44" s="62"/>
      <c r="Q44" s="63"/>
      <c r="R44" s="62"/>
      <c r="S44" s="9"/>
    </row>
    <row r="45" spans="1:20" ht="54.75" customHeight="1" x14ac:dyDescent="0.3">
      <c r="A45" s="162" t="s">
        <v>43</v>
      </c>
      <c r="B45" s="61"/>
      <c r="C45" s="61"/>
      <c r="D45" s="61"/>
      <c r="E45" s="61"/>
      <c r="F45" s="62"/>
      <c r="G45" s="63"/>
      <c r="H45" s="62"/>
      <c r="I45" s="63"/>
      <c r="J45" s="62"/>
      <c r="K45" s="63"/>
      <c r="L45" s="62"/>
      <c r="M45" s="63"/>
      <c r="N45" s="62"/>
      <c r="O45" s="63"/>
      <c r="P45" s="62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3"/>
      <c r="H46" s="62"/>
      <c r="I46" s="63"/>
      <c r="J46" s="62"/>
      <c r="K46" s="63"/>
      <c r="L46" s="62"/>
      <c r="M46" s="63"/>
      <c r="N46" s="62"/>
      <c r="O46" s="63"/>
      <c r="P46" s="62"/>
      <c r="Q46" s="63"/>
      <c r="R46" s="62"/>
      <c r="S46" s="9"/>
    </row>
    <row r="47" spans="1:20" ht="54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187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162" t="s">
        <v>47</v>
      </c>
      <c r="B49" s="61"/>
      <c r="C49" s="61"/>
      <c r="D49" s="61"/>
      <c r="E49" s="61"/>
      <c r="F49" s="62"/>
      <c r="G49" s="187"/>
      <c r="H49" s="65"/>
      <c r="I49" s="64"/>
      <c r="J49" s="65"/>
      <c r="K49" s="187"/>
      <c r="L49" s="65"/>
      <c r="M49" s="64"/>
      <c r="N49" s="65"/>
      <c r="O49" s="187"/>
      <c r="P49" s="65"/>
      <c r="Q49" s="63"/>
      <c r="R49" s="62"/>
      <c r="S49" s="9"/>
    </row>
    <row r="50" spans="1:19" ht="54.75" customHeight="1" thickBot="1" x14ac:dyDescent="0.35">
      <c r="A50" s="162" t="s">
        <v>48</v>
      </c>
      <c r="B50" s="61"/>
      <c r="C50" s="61"/>
      <c r="D50" s="61"/>
      <c r="E50" s="61"/>
      <c r="F50" s="62"/>
      <c r="G50" s="187"/>
      <c r="H50" s="65"/>
      <c r="I50" s="64"/>
      <c r="J50" s="65"/>
      <c r="K50" s="187"/>
      <c r="L50" s="65"/>
      <c r="M50" s="64"/>
      <c r="N50" s="65"/>
      <c r="O50" s="187"/>
      <c r="P50" s="65"/>
      <c r="Q50" s="63"/>
      <c r="R50" s="62"/>
      <c r="S50" s="9"/>
    </row>
    <row r="51" spans="1:19" ht="54.75" customHeight="1" thickBot="1" x14ac:dyDescent="0.35">
      <c r="A51" s="162" t="s">
        <v>49</v>
      </c>
      <c r="B51" s="61"/>
      <c r="C51" s="61"/>
      <c r="D51" s="61"/>
      <c r="E51" s="61"/>
      <c r="F51" s="62"/>
      <c r="G51" s="64"/>
      <c r="H51" s="65"/>
      <c r="I51" s="64"/>
      <c r="J51" s="65"/>
      <c r="K51" s="64"/>
      <c r="L51" s="65"/>
      <c r="M51" s="64"/>
      <c r="N51" s="65"/>
      <c r="O51" s="187"/>
      <c r="P51" s="65"/>
      <c r="Q51" s="63"/>
      <c r="R51" s="62"/>
      <c r="S51" s="9"/>
    </row>
    <row r="52" spans="1:19" ht="54.75" customHeight="1" thickBot="1" x14ac:dyDescent="0.35">
      <c r="A52" s="162" t="s">
        <v>50</v>
      </c>
      <c r="B52" s="61"/>
      <c r="C52" s="61"/>
      <c r="D52" s="61"/>
      <c r="E52" s="61"/>
      <c r="F52" s="62"/>
      <c r="G52" s="64"/>
      <c r="H52" s="65"/>
      <c r="I52" s="187"/>
      <c r="J52" s="65"/>
      <c r="K52" s="187"/>
      <c r="L52" s="65"/>
      <c r="M52" s="187"/>
      <c r="N52" s="65"/>
      <c r="O52" s="187"/>
      <c r="P52" s="65"/>
      <c r="Q52" s="63"/>
      <c r="R52" s="62"/>
      <c r="S52" s="9"/>
    </row>
    <row r="53" spans="1:19" ht="54.75" customHeight="1" thickBot="1" x14ac:dyDescent="0.35">
      <c r="A53" s="162" t="s">
        <v>51</v>
      </c>
      <c r="B53" s="61"/>
      <c r="C53" s="61"/>
      <c r="D53" s="61"/>
      <c r="E53" s="61"/>
      <c r="F53" s="62"/>
      <c r="G53" s="64"/>
      <c r="H53" s="65"/>
      <c r="I53" s="187"/>
      <c r="J53" s="65"/>
      <c r="K53" s="187"/>
      <c r="L53" s="65"/>
      <c r="M53" s="187"/>
      <c r="N53" s="65"/>
      <c r="O53" s="187"/>
      <c r="P53" s="65"/>
      <c r="Q53" s="63"/>
      <c r="R53" s="62"/>
      <c r="S53" s="9"/>
    </row>
    <row r="54" spans="1:19" ht="54.75" customHeight="1" thickBot="1" x14ac:dyDescent="0.35">
      <c r="A54" s="162" t="s">
        <v>52</v>
      </c>
      <c r="B54" s="61"/>
      <c r="C54" s="61"/>
      <c r="D54" s="61"/>
      <c r="E54" s="61"/>
      <c r="F54" s="62"/>
      <c r="G54" s="187"/>
      <c r="H54" s="65"/>
      <c r="I54" s="187"/>
      <c r="J54" s="65"/>
      <c r="K54" s="187"/>
      <c r="L54" s="65"/>
      <c r="M54" s="187"/>
      <c r="N54" s="65"/>
      <c r="O54" s="187"/>
      <c r="P54" s="65"/>
      <c r="Q54" s="63"/>
      <c r="R54" s="62"/>
      <c r="S54" s="9"/>
    </row>
    <row r="55" spans="1:19" ht="54.75" customHeight="1" x14ac:dyDescent="0.3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OLMOS ZARIÑAN GRISELDA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3">
    <mergeCell ref="A8:J8"/>
    <mergeCell ref="A9:J9"/>
    <mergeCell ref="A10:J10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3:B30"/>
    <mergeCell ref="G13:J13"/>
    <mergeCell ref="G18:J18"/>
    <mergeCell ref="L28:P28"/>
    <mergeCell ref="Q28:R28"/>
    <mergeCell ref="L29:P29"/>
    <mergeCell ref="Q29:R29"/>
    <mergeCell ref="L23:P23"/>
    <mergeCell ref="Q23:R23"/>
    <mergeCell ref="L24:P24"/>
    <mergeCell ref="Q24:R24"/>
    <mergeCell ref="A35:F38"/>
    <mergeCell ref="A40:F40"/>
    <mergeCell ref="A41:F4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Q34:R34"/>
    <mergeCell ref="G38:P38"/>
    <mergeCell ref="G35:K35"/>
    <mergeCell ref="G36:K36"/>
    <mergeCell ref="G37:K37"/>
    <mergeCell ref="G41:H41"/>
    <mergeCell ref="I41:J41"/>
    <mergeCell ref="K41:L41"/>
    <mergeCell ref="M41:N41"/>
    <mergeCell ref="O41:P41"/>
    <mergeCell ref="Q41:R41"/>
    <mergeCell ref="Q38:R38"/>
    <mergeCell ref="L34:P34"/>
    <mergeCell ref="L35:P35"/>
    <mergeCell ref="Q35:R35"/>
    <mergeCell ref="L36:P36"/>
    <mergeCell ref="Q36:R36"/>
    <mergeCell ref="L37:P37"/>
    <mergeCell ref="Q37:R37"/>
    <mergeCell ref="M46:N46"/>
    <mergeCell ref="O46:P46"/>
    <mergeCell ref="Q46:R46"/>
    <mergeCell ref="K46:L46"/>
    <mergeCell ref="K47:L47"/>
    <mergeCell ref="M47:N47"/>
    <mergeCell ref="O47:P47"/>
    <mergeCell ref="Q47:R47"/>
    <mergeCell ref="M42:N42"/>
    <mergeCell ref="O42:P42"/>
    <mergeCell ref="Q42:R42"/>
    <mergeCell ref="K42:L42"/>
    <mergeCell ref="K43:L43"/>
    <mergeCell ref="M43:N43"/>
    <mergeCell ref="O43:P43"/>
    <mergeCell ref="Q43:R43"/>
    <mergeCell ref="K44:L44"/>
    <mergeCell ref="M44:N44"/>
    <mergeCell ref="O44:P44"/>
    <mergeCell ref="Q44:R44"/>
    <mergeCell ref="K45:L45"/>
    <mergeCell ref="M45:N45"/>
    <mergeCell ref="O45:P45"/>
    <mergeCell ref="Q45:R45"/>
    <mergeCell ref="L25:P25"/>
    <mergeCell ref="Q25:R25"/>
    <mergeCell ref="Q26:R26"/>
    <mergeCell ref="L26:P26"/>
    <mergeCell ref="L27:P27"/>
    <mergeCell ref="Q27:R27"/>
    <mergeCell ref="G31:K31"/>
    <mergeCell ref="C26:F30"/>
    <mergeCell ref="A31:F34"/>
    <mergeCell ref="G34:K34"/>
    <mergeCell ref="C20:F25"/>
    <mergeCell ref="L31:P31"/>
    <mergeCell ref="Q31:R31"/>
    <mergeCell ref="L32:P32"/>
    <mergeCell ref="G26:K26"/>
    <mergeCell ref="G27:K27"/>
    <mergeCell ref="G28:K28"/>
    <mergeCell ref="G29:K29"/>
    <mergeCell ref="G30:K30"/>
    <mergeCell ref="L30:P30"/>
    <mergeCell ref="Q30:R30"/>
    <mergeCell ref="Q32:R32"/>
    <mergeCell ref="L33:P33"/>
    <mergeCell ref="Q33:R33"/>
    <mergeCell ref="G16:J16"/>
    <mergeCell ref="G17:J17"/>
    <mergeCell ref="G19:K19"/>
    <mergeCell ref="G20:K20"/>
    <mergeCell ref="G21:K21"/>
    <mergeCell ref="G22:K22"/>
    <mergeCell ref="G23:K23"/>
    <mergeCell ref="G32:K32"/>
    <mergeCell ref="G33:K33"/>
    <mergeCell ref="G24:K24"/>
    <mergeCell ref="G25:K25"/>
    <mergeCell ref="A42:F42"/>
    <mergeCell ref="A43:F43"/>
    <mergeCell ref="A44:F44"/>
    <mergeCell ref="A45:F45"/>
    <mergeCell ref="G45:H45"/>
    <mergeCell ref="I45:J45"/>
    <mergeCell ref="A46:F46"/>
    <mergeCell ref="G46:H46"/>
    <mergeCell ref="I46:J46"/>
    <mergeCell ref="G42:H42"/>
    <mergeCell ref="I42:J42"/>
    <mergeCell ref="G43:H43"/>
    <mergeCell ref="I43:J43"/>
    <mergeCell ref="G44:H44"/>
    <mergeCell ref="I44:J44"/>
    <mergeCell ref="A54:F54"/>
    <mergeCell ref="G54:H54"/>
    <mergeCell ref="O54:P54"/>
    <mergeCell ref="Q54:R54"/>
    <mergeCell ref="M54:N54"/>
    <mergeCell ref="I54:J54"/>
    <mergeCell ref="K54:L54"/>
    <mergeCell ref="A55:F55"/>
    <mergeCell ref="G55:H55"/>
    <mergeCell ref="I55:J55"/>
    <mergeCell ref="K55:L55"/>
    <mergeCell ref="M55:N55"/>
    <mergeCell ref="O55:P55"/>
    <mergeCell ref="Q55:R55"/>
    <mergeCell ref="I49:J49"/>
    <mergeCell ref="Q49:R49"/>
    <mergeCell ref="G49:H49"/>
    <mergeCell ref="K49:L49"/>
    <mergeCell ref="O49:P49"/>
    <mergeCell ref="M49:N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A50:F50"/>
    <mergeCell ref="I50:J50"/>
    <mergeCell ref="Q50:R50"/>
    <mergeCell ref="G50:H50"/>
    <mergeCell ref="K50:L50"/>
    <mergeCell ref="O50:P50"/>
    <mergeCell ref="M50:N50"/>
    <mergeCell ref="A51:F51"/>
    <mergeCell ref="G51:H51"/>
    <mergeCell ref="I51:J51"/>
    <mergeCell ref="K51:L51"/>
    <mergeCell ref="M51:N51"/>
    <mergeCell ref="Q51:R51"/>
    <mergeCell ref="O51:P51"/>
    <mergeCell ref="A52:F52"/>
    <mergeCell ref="G52:H52"/>
    <mergeCell ref="I52:J52"/>
    <mergeCell ref="Q52:R52"/>
    <mergeCell ref="M52:N52"/>
    <mergeCell ref="K52:L52"/>
    <mergeCell ref="O52:P52"/>
    <mergeCell ref="A53:F53"/>
    <mergeCell ref="G53:H53"/>
    <mergeCell ref="I53:J53"/>
    <mergeCell ref="Q53:R53"/>
    <mergeCell ref="M53:N53"/>
    <mergeCell ref="K53:L53"/>
    <mergeCell ref="O53:P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8" priority="1" operator="equal">
      <formula>0</formula>
    </cfRule>
  </conditionalFormatting>
  <conditionalFormatting sqref="M14:R18">
    <cfRule type="cellIs" dxfId="7" priority="2" operator="equal">
      <formula>0</formula>
    </cfRule>
  </conditionalFormatting>
  <conditionalFormatting sqref="Q38:R38">
    <cfRule type="cellIs" dxfId="6" priority="3" operator="equal">
      <formula>0</formula>
    </cfRule>
  </conditionalFormatting>
  <dataValidations count="4">
    <dataValidation type="list" allowBlank="1" sqref="K42:K48 K51:K56 O42:O48 I42:I56 Q57:R57 G42:G48 G51:G56 O51:O56 Q42:Q56 M42:M56" xr:uid="{00000000-0002-0000-0A00-000000000000}">
      <formula1>$S$14:$S$19</formula1>
    </dataValidation>
    <dataValidation type="list" allowBlank="1" sqref="G20" xr:uid="{00000000-0002-0000-0A00-000001000000}">
      <formula1>$L$14:$L$18</formula1>
    </dataValidation>
    <dataValidation type="list" allowBlank="1" sqref="G49:G50 K49:K50 O49:O50" xr:uid="{00000000-0002-0000-0A00-000002000000}">
      <formula1>$T$15:$T$23</formula1>
    </dataValidation>
    <dataValidation type="list" allowBlank="1" showErrorMessage="1" sqref="G21:G24" xr:uid="{00000000-0002-0000-0A00-000003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5000000}">
          <x14:formula1>
            <xm:f>z_2_Maestros!$B$2:$B$36</xm:f>
          </x14:formula1>
          <xm:sqref>A9</xm:sqref>
        </x14:dataValidation>
        <x14:dataValidation type="list" allowBlank="1" showErrorMessage="1" xr:uid="{00000000-0002-0000-0A00-000004000000}">
          <x14:formula1>
            <xm:f>z_4_Materias2!$A$9:$A$141</xm:f>
          </x14:formula1>
          <xm:sqref>G14:G18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FFFF00"/>
    <pageSetUpPr fitToPage="1"/>
  </sheetPr>
  <dimension ref="A1:Z1000"/>
  <sheetViews>
    <sheetView view="pageBreakPreview" zoomScale="40" zoomScaleNormal="30" zoomScaleSheetLayoutView="40" workbookViewId="0">
      <selection activeCell="A5" sqref="A5:G7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0" width="17.5546875" customWidth="1"/>
    <col min="11" max="11" width="17.21875" customWidth="1"/>
    <col min="12" max="18" width="17.5546875" customWidth="1"/>
    <col min="19" max="26" width="10.77734375" customWidth="1"/>
  </cols>
  <sheetData>
    <row r="1" spans="1:26" ht="19.5" customHeight="1" x14ac:dyDescent="0.4">
      <c r="A1" s="13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30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31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 t="s">
        <v>102</v>
      </c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89" t="s">
        <v>11</v>
      </c>
      <c r="H13" s="109"/>
      <c r="I13" s="109"/>
      <c r="J13" s="110"/>
      <c r="K13" s="28" t="s">
        <v>12</v>
      </c>
      <c r="L13" s="28" t="s">
        <v>13</v>
      </c>
      <c r="M13" s="111" t="s">
        <v>14</v>
      </c>
      <c r="N13" s="109"/>
      <c r="O13" s="109"/>
      <c r="P13" s="110"/>
      <c r="Q13" s="111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72" t="s">
        <v>21</v>
      </c>
      <c r="H14" s="73"/>
      <c r="I14" s="73"/>
      <c r="J14" s="74"/>
      <c r="K14" s="10">
        <f t="array" ref="K14">INDEX(z_4_Materias2!B9:B141, MATCH(G14, z_4_Materias2!A9:A141, 0))</f>
        <v>0</v>
      </c>
      <c r="L14" s="10"/>
      <c r="M14" s="139">
        <f t="array" ref="M14">INDEX(z_4_Materias2!D9:D141, MATCH(G14, z_4_Materias2!A9:A141, 0))</f>
        <v>0</v>
      </c>
      <c r="N14" s="73"/>
      <c r="O14" s="73"/>
      <c r="P14" s="74"/>
      <c r="Q14" s="149">
        <f>SUM(M14:P18)</f>
        <v>0</v>
      </c>
      <c r="R14" s="125"/>
      <c r="S14" s="9" t="str">
        <f t="shared" ref="S14:S18" si="0">G14&amp;" "&amp;L14</f>
        <v xml:space="preserve">  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72" t="s">
        <v>21</v>
      </c>
      <c r="H15" s="73"/>
      <c r="I15" s="73"/>
      <c r="J15" s="74"/>
      <c r="K15" s="10">
        <f t="array" ref="K15">INDEX(z_4_Materias2!B10:B141, MATCH(G15, z_4_Materias2!A10:A141, 0))</f>
        <v>0</v>
      </c>
      <c r="L15" s="10"/>
      <c r="M15" s="139">
        <f t="array" ref="M15">INDEX(z_4_Materias2!D9:D141, MATCH(G15, z_4_Materias2!A9:A141, 0))</f>
        <v>0</v>
      </c>
      <c r="N15" s="73"/>
      <c r="O15" s="73"/>
      <c r="P15" s="74"/>
      <c r="Q15" s="96"/>
      <c r="R15" s="106"/>
      <c r="S15" s="9" t="str">
        <f t="shared" si="0"/>
        <v xml:space="preserve">  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72" t="s">
        <v>21</v>
      </c>
      <c r="H16" s="73"/>
      <c r="I16" s="73"/>
      <c r="J16" s="74"/>
      <c r="K16" s="10">
        <f t="array" ref="K16">INDEX(z_4_Materias2!B11:B141, MATCH(G16, z_4_Materias2!A11:A141, 0))</f>
        <v>0</v>
      </c>
      <c r="L16" s="10"/>
      <c r="M16" s="139">
        <f t="array" ref="M16">INDEX(z_4_Materias2!D9:D141, MATCH(G16, z_4_Materias2!A9:A141, 0))</f>
        <v>0</v>
      </c>
      <c r="N16" s="73"/>
      <c r="O16" s="73"/>
      <c r="P16" s="74"/>
      <c r="Q16" s="96"/>
      <c r="R16" s="106"/>
      <c r="S16" s="9" t="str">
        <f t="shared" si="0"/>
        <v xml:space="preserve">  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72" t="s">
        <v>21</v>
      </c>
      <c r="H17" s="73"/>
      <c r="I17" s="73"/>
      <c r="J17" s="74"/>
      <c r="K17" s="10"/>
      <c r="L17" s="10"/>
      <c r="M17" s="139"/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72" t="s">
        <v>21</v>
      </c>
      <c r="H18" s="73"/>
      <c r="I18" s="73"/>
      <c r="J18" s="74"/>
      <c r="K18" s="10"/>
      <c r="L18" s="10"/>
      <c r="M18" s="150"/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thickBot="1" x14ac:dyDescent="0.35">
      <c r="A19" s="96"/>
      <c r="B19" s="106"/>
      <c r="C19" s="98"/>
      <c r="D19" s="99"/>
      <c r="E19" s="99"/>
      <c r="F19" s="107"/>
      <c r="G19" s="75" t="s">
        <v>22</v>
      </c>
      <c r="H19" s="61"/>
      <c r="I19" s="61"/>
      <c r="J19" s="61"/>
      <c r="K19" s="62"/>
      <c r="L19" s="75" t="s">
        <v>23</v>
      </c>
      <c r="M19" s="61"/>
      <c r="N19" s="61"/>
      <c r="O19" s="61"/>
      <c r="P19" s="62"/>
      <c r="Q19" s="75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116" t="s">
        <v>104</v>
      </c>
      <c r="H20" s="183"/>
      <c r="I20" s="183"/>
      <c r="J20" s="183"/>
      <c r="K20" s="184"/>
      <c r="L20" s="155"/>
      <c r="M20" s="55"/>
      <c r="N20" s="55"/>
      <c r="O20" s="55"/>
      <c r="P20" s="106"/>
      <c r="Q20" s="76">
        <v>1</v>
      </c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178" t="s">
        <v>105</v>
      </c>
      <c r="H21" s="183"/>
      <c r="I21" s="183"/>
      <c r="J21" s="183"/>
      <c r="K21" s="184"/>
      <c r="L21" s="126"/>
      <c r="M21" s="124"/>
      <c r="N21" s="124"/>
      <c r="O21" s="124"/>
      <c r="P21" s="125"/>
      <c r="Q21" s="76">
        <v>1</v>
      </c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178"/>
      <c r="H22" s="183"/>
      <c r="I22" s="183"/>
      <c r="J22" s="183"/>
      <c r="K22" s="18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x14ac:dyDescent="0.3">
      <c r="A25" s="96"/>
      <c r="B25" s="106"/>
      <c r="C25" s="98"/>
      <c r="D25" s="99"/>
      <c r="E25" s="99"/>
      <c r="F25" s="107"/>
      <c r="G25" s="75" t="s">
        <v>26</v>
      </c>
      <c r="H25" s="61"/>
      <c r="I25" s="61"/>
      <c r="J25" s="61"/>
      <c r="K25" s="62"/>
      <c r="L25" s="75" t="s">
        <v>23</v>
      </c>
      <c r="M25" s="61"/>
      <c r="N25" s="61"/>
      <c r="O25" s="61"/>
      <c r="P25" s="62"/>
      <c r="Q25" s="108" t="s">
        <v>24</v>
      </c>
      <c r="R25" s="110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 t="s">
        <v>88</v>
      </c>
      <c r="H26" s="73"/>
      <c r="I26" s="73"/>
      <c r="J26" s="73"/>
      <c r="K26" s="74"/>
      <c r="L26" s="88"/>
      <c r="M26" s="73"/>
      <c r="N26" s="73"/>
      <c r="O26" s="73"/>
      <c r="P26" s="89"/>
      <c r="Q26" s="116">
        <v>5</v>
      </c>
      <c r="R26" s="74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thickBot="1" x14ac:dyDescent="0.35">
      <c r="A30" s="98"/>
      <c r="B30" s="107"/>
      <c r="C30" s="98"/>
      <c r="D30" s="99"/>
      <c r="E30" s="99"/>
      <c r="F30" s="100"/>
      <c r="G30" s="75" t="s">
        <v>26</v>
      </c>
      <c r="H30" s="61"/>
      <c r="I30" s="61"/>
      <c r="J30" s="61"/>
      <c r="K30" s="62"/>
      <c r="L30" s="93" t="s">
        <v>28</v>
      </c>
      <c r="M30" s="94"/>
      <c r="N30" s="94"/>
      <c r="O30" s="94"/>
      <c r="P30" s="105"/>
      <c r="Q30" s="75" t="s">
        <v>24</v>
      </c>
      <c r="R30" s="62"/>
      <c r="S30" s="9"/>
    </row>
    <row r="31" spans="1:19" ht="21" customHeight="1" thickBot="1" x14ac:dyDescent="0.35">
      <c r="A31" s="101" t="s">
        <v>29</v>
      </c>
      <c r="B31" s="94"/>
      <c r="C31" s="94"/>
      <c r="D31" s="94"/>
      <c r="E31" s="94"/>
      <c r="F31" s="94"/>
      <c r="G31" s="90" t="s">
        <v>355</v>
      </c>
      <c r="H31" s="91"/>
      <c r="I31" s="91"/>
      <c r="J31" s="91"/>
      <c r="K31" s="92"/>
      <c r="L31" s="108"/>
      <c r="M31" s="109"/>
      <c r="N31" s="109"/>
      <c r="O31" s="109"/>
      <c r="P31" s="110"/>
      <c r="Q31" s="111">
        <v>2</v>
      </c>
      <c r="R31" s="110"/>
      <c r="S31" s="9"/>
    </row>
    <row r="32" spans="1:19" ht="21" customHeight="1" thickBot="1" x14ac:dyDescent="0.35">
      <c r="A32" s="96"/>
      <c r="B32" s="55"/>
      <c r="C32" s="55"/>
      <c r="D32" s="55"/>
      <c r="E32" s="55"/>
      <c r="F32" s="55"/>
      <c r="G32" s="79" t="s">
        <v>357</v>
      </c>
      <c r="H32" s="80"/>
      <c r="I32" s="80"/>
      <c r="J32" s="80"/>
      <c r="K32" s="81"/>
      <c r="L32" s="88"/>
      <c r="M32" s="73"/>
      <c r="N32" s="73"/>
      <c r="O32" s="73"/>
      <c r="P32" s="74"/>
      <c r="Q32" s="111">
        <v>3</v>
      </c>
      <c r="R32" s="110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108"/>
      <c r="H36" s="109"/>
      <c r="I36" s="109"/>
      <c r="J36" s="109"/>
      <c r="K36" s="110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>
        <f>SUM(Q14,Q20:R24,Q26:R29,Q31:R33,Q35:R37)</f>
        <v>12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75" t="s">
        <v>36</v>
      </c>
      <c r="L41" s="62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4"/>
      <c r="H42" s="65"/>
      <c r="I42" s="64"/>
      <c r="J42" s="65"/>
      <c r="K42" s="64"/>
      <c r="L42" s="65"/>
      <c r="M42" s="64"/>
      <c r="N42" s="65"/>
      <c r="O42" s="64"/>
      <c r="P42" s="65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4"/>
      <c r="H43" s="65"/>
      <c r="I43" s="64"/>
      <c r="J43" s="65"/>
      <c r="K43" s="64"/>
      <c r="L43" s="65"/>
      <c r="M43" s="64"/>
      <c r="N43" s="65"/>
      <c r="O43" s="64"/>
      <c r="P43" s="65"/>
      <c r="Q43" s="63"/>
      <c r="R43" s="62"/>
      <c r="S43" s="9"/>
    </row>
    <row r="44" spans="1:20" ht="54.75" customHeight="1" thickBot="1" x14ac:dyDescent="0.35">
      <c r="A44" s="162" t="s">
        <v>42</v>
      </c>
      <c r="B44" s="61"/>
      <c r="C44" s="61"/>
      <c r="D44" s="61"/>
      <c r="E44" s="61"/>
      <c r="F44" s="62"/>
      <c r="G44" s="64"/>
      <c r="H44" s="65"/>
      <c r="I44" s="64"/>
      <c r="J44" s="65"/>
      <c r="K44" s="64"/>
      <c r="L44" s="65"/>
      <c r="M44" s="64"/>
      <c r="N44" s="65"/>
      <c r="O44" s="64"/>
      <c r="P44" s="65"/>
      <c r="Q44" s="63"/>
      <c r="R44" s="62"/>
      <c r="S44" s="9"/>
    </row>
    <row r="45" spans="1:20" ht="54.75" customHeight="1" thickBot="1" x14ac:dyDescent="0.35">
      <c r="A45" s="162" t="s">
        <v>43</v>
      </c>
      <c r="B45" s="61"/>
      <c r="C45" s="61"/>
      <c r="D45" s="61"/>
      <c r="E45" s="61"/>
      <c r="F45" s="62"/>
      <c r="G45" s="64"/>
      <c r="H45" s="65"/>
      <c r="I45" s="64"/>
      <c r="J45" s="65"/>
      <c r="K45" s="64"/>
      <c r="L45" s="65"/>
      <c r="M45" s="64"/>
      <c r="N45" s="65"/>
      <c r="O45" s="64"/>
      <c r="P45" s="65"/>
      <c r="Q45" s="63"/>
      <c r="R45" s="62"/>
      <c r="S45" s="9"/>
    </row>
    <row r="46" spans="1:20" ht="54.75" customHeight="1" thickBot="1" x14ac:dyDescent="0.35">
      <c r="A46" s="162" t="s">
        <v>44</v>
      </c>
      <c r="B46" s="61"/>
      <c r="C46" s="61"/>
      <c r="D46" s="61"/>
      <c r="E46" s="61"/>
      <c r="F46" s="62"/>
      <c r="G46" s="64"/>
      <c r="H46" s="65"/>
      <c r="I46" s="64"/>
      <c r="J46" s="65"/>
      <c r="K46" s="64"/>
      <c r="L46" s="65"/>
      <c r="M46" s="64"/>
      <c r="N46" s="65"/>
      <c r="O46" s="64"/>
      <c r="P46" s="65"/>
      <c r="Q46" s="63"/>
      <c r="R46" s="62"/>
      <c r="S46" s="9"/>
    </row>
    <row r="47" spans="1:20" ht="54.75" customHeight="1" thickBot="1" x14ac:dyDescent="0.35">
      <c r="A47" s="162" t="s">
        <v>45</v>
      </c>
      <c r="B47" s="61"/>
      <c r="C47" s="61"/>
      <c r="D47" s="61"/>
      <c r="E47" s="61"/>
      <c r="F47" s="62"/>
      <c r="G47" s="64"/>
      <c r="H47" s="65"/>
      <c r="I47" s="64"/>
      <c r="J47" s="65"/>
      <c r="K47" s="64"/>
      <c r="L47" s="65"/>
      <c r="M47" s="64"/>
      <c r="N47" s="65"/>
      <c r="O47" s="64"/>
      <c r="P47" s="65"/>
      <c r="Q47" s="63"/>
      <c r="R47" s="62"/>
      <c r="S47" s="9"/>
    </row>
    <row r="48" spans="1:20" ht="54.75" customHeight="1" thickBot="1" x14ac:dyDescent="0.35">
      <c r="A48" s="162" t="s">
        <v>46</v>
      </c>
      <c r="B48" s="61"/>
      <c r="C48" s="61"/>
      <c r="D48" s="61"/>
      <c r="E48" s="61"/>
      <c r="F48" s="62"/>
      <c r="G48" s="64"/>
      <c r="H48" s="65"/>
      <c r="I48" s="64"/>
      <c r="J48" s="65"/>
      <c r="K48" s="64"/>
      <c r="L48" s="65"/>
      <c r="M48" s="64"/>
      <c r="N48" s="65"/>
      <c r="O48" s="64"/>
      <c r="P48" s="65"/>
      <c r="Q48" s="63"/>
      <c r="R48" s="62"/>
      <c r="S48" s="9"/>
    </row>
    <row r="49" spans="1:19" ht="54.75" customHeight="1" thickBot="1" x14ac:dyDescent="0.35">
      <c r="A49" s="162" t="s">
        <v>47</v>
      </c>
      <c r="B49" s="61"/>
      <c r="C49" s="61"/>
      <c r="D49" s="61"/>
      <c r="E49" s="61"/>
      <c r="F49" s="62"/>
      <c r="G49" s="64"/>
      <c r="H49" s="65"/>
      <c r="I49" s="64"/>
      <c r="J49" s="65"/>
      <c r="K49" s="64"/>
      <c r="L49" s="65"/>
      <c r="M49" s="64"/>
      <c r="N49" s="65"/>
      <c r="O49" s="64"/>
      <c r="P49" s="65"/>
      <c r="Q49" s="63"/>
      <c r="R49" s="62"/>
      <c r="S49" s="9"/>
    </row>
    <row r="50" spans="1:19" ht="54.75" customHeight="1" thickBot="1" x14ac:dyDescent="0.35">
      <c r="A50" s="162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63"/>
      <c r="L50" s="62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162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63"/>
      <c r="L51" s="62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162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63"/>
      <c r="L52" s="62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162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63"/>
      <c r="L53" s="62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162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63"/>
      <c r="L54" s="62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63"/>
      <c r="L55" s="62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63"/>
      <c r="L56" s="62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5">
      <c r="A61" s="56" t="s">
        <v>56</v>
      </c>
      <c r="B61" s="57"/>
      <c r="C61" s="57"/>
      <c r="D61" s="57"/>
      <c r="E61" s="57"/>
      <c r="F61" s="57"/>
      <c r="G61" s="57"/>
      <c r="H61" s="57"/>
      <c r="I61" s="41"/>
      <c r="J61" s="41"/>
      <c r="K61" s="41"/>
      <c r="L61" s="58" t="str">
        <f>A9</f>
        <v>TELLEZ VELÁZQUEZ SERGIO</v>
      </c>
      <c r="M61" s="57"/>
      <c r="N61" s="57"/>
      <c r="O61" s="57"/>
      <c r="P61" s="57"/>
      <c r="Q61" s="8"/>
      <c r="R61" s="25"/>
    </row>
    <row r="62" spans="1:19" ht="33.75" customHeight="1" x14ac:dyDescent="0.35">
      <c r="A62" s="59" t="s">
        <v>57</v>
      </c>
      <c r="B62" s="55"/>
      <c r="C62" s="55"/>
      <c r="D62" s="55"/>
      <c r="E62" s="55"/>
      <c r="F62" s="55"/>
      <c r="G62" s="55"/>
      <c r="H62" s="55"/>
      <c r="I62" s="41"/>
      <c r="J62" s="41"/>
      <c r="K62" s="41"/>
      <c r="L62" s="59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5">
      <c r="A63" s="51"/>
      <c r="B63" s="51"/>
      <c r="C63" s="51"/>
      <c r="D63" s="51"/>
      <c r="E63" s="51"/>
      <c r="F63" s="51"/>
      <c r="G63" s="52"/>
      <c r="H63" s="52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72"/>
      <c r="B64" s="173"/>
      <c r="C64" s="173"/>
      <c r="D64" s="173"/>
      <c r="E64" s="173"/>
      <c r="F64" s="173"/>
      <c r="G64" s="173"/>
      <c r="H64" s="173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74"/>
      <c r="B65" s="175"/>
      <c r="C65" s="175"/>
      <c r="D65" s="175"/>
      <c r="E65" s="175"/>
      <c r="F65" s="175"/>
      <c r="G65" s="175"/>
      <c r="H65" s="175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15">
    <mergeCell ref="Q36:R36"/>
    <mergeCell ref="L37:P37"/>
    <mergeCell ref="Q37:R37"/>
    <mergeCell ref="M46:N46"/>
    <mergeCell ref="L28:P28"/>
    <mergeCell ref="Q45:R45"/>
    <mergeCell ref="O46:P46"/>
    <mergeCell ref="Q46:R46"/>
    <mergeCell ref="A65:H65"/>
    <mergeCell ref="O45:P45"/>
    <mergeCell ref="Q41:R41"/>
    <mergeCell ref="Q34:R34"/>
    <mergeCell ref="G38:P38"/>
    <mergeCell ref="Q38:R38"/>
    <mergeCell ref="L34:P34"/>
    <mergeCell ref="L35:P35"/>
    <mergeCell ref="Q35:R35"/>
    <mergeCell ref="L36:P36"/>
    <mergeCell ref="A64:H64"/>
    <mergeCell ref="G36:K36"/>
    <mergeCell ref="G37:K37"/>
    <mergeCell ref="G41:H41"/>
    <mergeCell ref="I41:J41"/>
    <mergeCell ref="K41:L41"/>
    <mergeCell ref="M41:N41"/>
    <mergeCell ref="O41:P41"/>
    <mergeCell ref="L33:P33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A5:G7"/>
    <mergeCell ref="A8:J8"/>
    <mergeCell ref="A9:J9"/>
    <mergeCell ref="A10:J10"/>
    <mergeCell ref="Q28:R28"/>
    <mergeCell ref="L29:P29"/>
    <mergeCell ref="Q29:R29"/>
    <mergeCell ref="L31:P31"/>
    <mergeCell ref="Q31:R31"/>
    <mergeCell ref="L32:P32"/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K46:L46"/>
    <mergeCell ref="M42:N42"/>
    <mergeCell ref="O42:P42"/>
    <mergeCell ref="Q42:R42"/>
    <mergeCell ref="K42:L42"/>
    <mergeCell ref="M43:N43"/>
    <mergeCell ref="O43:P43"/>
    <mergeCell ref="Q43:R43"/>
    <mergeCell ref="M44:N44"/>
    <mergeCell ref="K43:L43"/>
    <mergeCell ref="K44:L44"/>
    <mergeCell ref="O44:P44"/>
    <mergeCell ref="Q44:R44"/>
    <mergeCell ref="K45:L45"/>
    <mergeCell ref="M45:N45"/>
    <mergeCell ref="Q33:R33"/>
    <mergeCell ref="L30:P30"/>
    <mergeCell ref="Q30:R30"/>
    <mergeCell ref="Q23:R23"/>
    <mergeCell ref="L24:P24"/>
    <mergeCell ref="Q24:R24"/>
    <mergeCell ref="L25:P25"/>
    <mergeCell ref="Q25:R25"/>
    <mergeCell ref="Q26:R26"/>
    <mergeCell ref="L26:P26"/>
    <mergeCell ref="L27:P27"/>
    <mergeCell ref="Q27:R27"/>
    <mergeCell ref="L23:P23"/>
    <mergeCell ref="Q32:R32"/>
    <mergeCell ref="A35:F38"/>
    <mergeCell ref="A40:F40"/>
    <mergeCell ref="A41:F41"/>
    <mergeCell ref="G22:K22"/>
    <mergeCell ref="A44:F44"/>
    <mergeCell ref="A45:F45"/>
    <mergeCell ref="G45:H45"/>
    <mergeCell ref="I45:J45"/>
    <mergeCell ref="A13:B30"/>
    <mergeCell ref="G13:J13"/>
    <mergeCell ref="G18:J18"/>
    <mergeCell ref="G26:K26"/>
    <mergeCell ref="G27:K27"/>
    <mergeCell ref="G28:K28"/>
    <mergeCell ref="G29:K29"/>
    <mergeCell ref="G30:K30"/>
    <mergeCell ref="G31:K31"/>
    <mergeCell ref="C26:F30"/>
    <mergeCell ref="A31:F34"/>
    <mergeCell ref="G16:J16"/>
    <mergeCell ref="G17:J17"/>
    <mergeCell ref="G19:K19"/>
    <mergeCell ref="G20:K20"/>
    <mergeCell ref="G21:K21"/>
    <mergeCell ref="G46:H46"/>
    <mergeCell ref="I46:J46"/>
    <mergeCell ref="I42:J42"/>
    <mergeCell ref="I43:J43"/>
    <mergeCell ref="G42:H42"/>
    <mergeCell ref="G43:H43"/>
    <mergeCell ref="G44:H44"/>
    <mergeCell ref="I44:J44"/>
    <mergeCell ref="A42:F42"/>
    <mergeCell ref="A43:F43"/>
    <mergeCell ref="G35:K35"/>
    <mergeCell ref="G23:K23"/>
    <mergeCell ref="G32:K32"/>
    <mergeCell ref="G33:K33"/>
    <mergeCell ref="G34:K34"/>
    <mergeCell ref="C20:F25"/>
    <mergeCell ref="G24:K24"/>
    <mergeCell ref="G25:K25"/>
    <mergeCell ref="A54:F54"/>
    <mergeCell ref="G54:H54"/>
    <mergeCell ref="I54:J54"/>
    <mergeCell ref="K54:L54"/>
    <mergeCell ref="G49:H49"/>
    <mergeCell ref="I49:J49"/>
    <mergeCell ref="K49:L49"/>
    <mergeCell ref="A50:F50"/>
    <mergeCell ref="G50:H50"/>
    <mergeCell ref="I50:J50"/>
    <mergeCell ref="K50:L50"/>
    <mergeCell ref="A52:F52"/>
    <mergeCell ref="G52:H52"/>
    <mergeCell ref="I52:J52"/>
    <mergeCell ref="K52:L52"/>
    <mergeCell ref="A46:F46"/>
    <mergeCell ref="M54:N54"/>
    <mergeCell ref="O54:P54"/>
    <mergeCell ref="Q54:R54"/>
    <mergeCell ref="A55:F55"/>
    <mergeCell ref="G55:H55"/>
    <mergeCell ref="I55:J55"/>
    <mergeCell ref="K55:L55"/>
    <mergeCell ref="M55:N55"/>
    <mergeCell ref="O55:P55"/>
    <mergeCell ref="Q55:R55"/>
    <mergeCell ref="M49:N49"/>
    <mergeCell ref="O49:P49"/>
    <mergeCell ref="Q49:R49"/>
    <mergeCell ref="A47:F47"/>
    <mergeCell ref="G47:H47"/>
    <mergeCell ref="I47:J47"/>
    <mergeCell ref="A48:F48"/>
    <mergeCell ref="G48:H48"/>
    <mergeCell ref="I48:J48"/>
    <mergeCell ref="A49:F49"/>
    <mergeCell ref="O48:P48"/>
    <mergeCell ref="Q48:R48"/>
    <mergeCell ref="K48:L48"/>
    <mergeCell ref="M48:N48"/>
    <mergeCell ref="M47:N47"/>
    <mergeCell ref="K47:L47"/>
    <mergeCell ref="O47:P47"/>
    <mergeCell ref="Q47:R47"/>
    <mergeCell ref="M50:N50"/>
    <mergeCell ref="O50:P50"/>
    <mergeCell ref="Q50:R50"/>
    <mergeCell ref="A51:F51"/>
    <mergeCell ref="G51:H51"/>
    <mergeCell ref="I51:J51"/>
    <mergeCell ref="K51:L51"/>
    <mergeCell ref="M51:N51"/>
    <mergeCell ref="O51:P51"/>
    <mergeCell ref="Q51:R51"/>
    <mergeCell ref="M52:N52"/>
    <mergeCell ref="O52:P52"/>
    <mergeCell ref="Q52:R52"/>
    <mergeCell ref="A53:F53"/>
    <mergeCell ref="G53:H53"/>
    <mergeCell ref="I53:J53"/>
    <mergeCell ref="K53:L53"/>
    <mergeCell ref="M53:N53"/>
    <mergeCell ref="O53:P53"/>
    <mergeCell ref="Q53:R53"/>
    <mergeCell ref="A58:H58"/>
    <mergeCell ref="L58:Q58"/>
    <mergeCell ref="A61:H61"/>
    <mergeCell ref="L61:P61"/>
    <mergeCell ref="A62:H62"/>
    <mergeCell ref="L62:P62"/>
    <mergeCell ref="A56:F56"/>
    <mergeCell ref="G56:H56"/>
    <mergeCell ref="I56:J56"/>
    <mergeCell ref="K56:L56"/>
    <mergeCell ref="M56:N56"/>
    <mergeCell ref="O56:P56"/>
    <mergeCell ref="Q56:R56"/>
  </mergeCells>
  <conditionalFormatting sqref="K14:K18">
    <cfRule type="cellIs" dxfId="5" priority="1" operator="equal">
      <formula>0</formula>
    </cfRule>
  </conditionalFormatting>
  <conditionalFormatting sqref="M14:R18">
    <cfRule type="cellIs" dxfId="4" priority="2" operator="equal">
      <formula>0</formula>
    </cfRule>
  </conditionalFormatting>
  <conditionalFormatting sqref="Q38:R38">
    <cfRule type="cellIs" dxfId="3" priority="3" operator="equal">
      <formula>0</formula>
    </cfRule>
  </conditionalFormatting>
  <dataValidations disablePrompts="1" count="2">
    <dataValidation type="list" allowBlank="1" sqref="G42:G56 Q57:R57 K42:K56 M42:M56 O42:O56 Q42:Q56 I42:I56" xr:uid="{00000000-0002-0000-0B00-000000000000}">
      <formula1>$S$14:$S$19</formula1>
    </dataValidation>
    <dataValidation type="list" allowBlank="1" showErrorMessage="1" sqref="G20:G24" xr:uid="{00000000-0002-0000-0B00-000001000000}">
      <formula1>$L$14:$L$18</formula1>
    </dataValidation>
  </dataValidations>
  <printOptions horizontalCentered="1"/>
  <pageMargins left="0.25" right="0.25" top="0.75" bottom="0.75" header="0" footer="0"/>
  <pageSetup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B00-000003000000}">
          <x14:formula1>
            <xm:f>z_2_Maestros!$B$2:$B$36</xm:f>
          </x14:formula1>
          <xm:sqref>A9</xm:sqref>
        </x14:dataValidation>
        <x14:dataValidation type="list" allowBlank="1" showErrorMessage="1" xr:uid="{00000000-0002-0000-0B00-000002000000}">
          <x14:formula1>
            <xm:f>z_4_Materias2!$A$9:$A$141</xm:f>
          </x14:formula1>
          <xm:sqref>G14:G16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92D050"/>
    <pageSetUpPr fitToPage="1"/>
  </sheetPr>
  <dimension ref="A1:Z1000"/>
  <sheetViews>
    <sheetView topLeftCell="A17" workbookViewId="0">
      <selection sqref="A1:R1"/>
    </sheetView>
  </sheetViews>
  <sheetFormatPr baseColWidth="10" defaultColWidth="14.44140625" defaultRowHeight="15" customHeight="1" x14ac:dyDescent="0.3"/>
  <cols>
    <col min="1" max="2" width="7.44140625" customWidth="1"/>
    <col min="3" max="4" width="5.5546875" customWidth="1"/>
    <col min="5" max="6" width="9.44140625" customWidth="1"/>
    <col min="7" max="18" width="17.5546875" customWidth="1"/>
    <col min="19" max="26" width="10.77734375" customWidth="1"/>
  </cols>
  <sheetData>
    <row r="1" spans="1:26" ht="19.5" customHeight="1" x14ac:dyDescent="0.4">
      <c r="A1" s="196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4">
      <c r="A2" s="196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4">
      <c r="A3" s="197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32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1"/>
      <c r="B5" s="94"/>
      <c r="C5" s="94"/>
      <c r="D5" s="94"/>
      <c r="E5" s="94"/>
      <c r="F5" s="94"/>
      <c r="G5" s="94"/>
      <c r="H5" s="169" t="s">
        <v>3</v>
      </c>
      <c r="I5" s="94"/>
      <c r="J5" s="94"/>
      <c r="K5" s="94"/>
      <c r="L5" s="94"/>
      <c r="M5" s="94"/>
      <c r="N5" s="94"/>
      <c r="O5" s="94"/>
      <c r="P5" s="94"/>
      <c r="Q5" s="94"/>
      <c r="R5" s="105"/>
    </row>
    <row r="6" spans="1:26" ht="19.5" customHeight="1" x14ac:dyDescent="0.3">
      <c r="A6" s="96"/>
      <c r="B6" s="55"/>
      <c r="C6" s="55"/>
      <c r="D6" s="55"/>
      <c r="E6" s="55"/>
      <c r="F6" s="55"/>
      <c r="G6" s="55"/>
      <c r="H6" s="170" t="s">
        <v>366</v>
      </c>
      <c r="I6" s="55"/>
      <c r="J6" s="55"/>
      <c r="K6" s="55"/>
      <c r="L6" s="55"/>
      <c r="M6" s="55"/>
      <c r="N6" s="55"/>
      <c r="O6" s="55"/>
      <c r="P6" s="55"/>
      <c r="Q6" s="55"/>
      <c r="R6" s="106"/>
    </row>
    <row r="7" spans="1:26" ht="19.5" customHeight="1" x14ac:dyDescent="0.3">
      <c r="A7" s="98"/>
      <c r="B7" s="99"/>
      <c r="C7" s="99"/>
      <c r="D7" s="99"/>
      <c r="E7" s="99"/>
      <c r="F7" s="99"/>
      <c r="G7" s="99"/>
      <c r="H7" s="171" t="s">
        <v>367</v>
      </c>
      <c r="I7" s="99"/>
      <c r="J7" s="99"/>
      <c r="K7" s="99"/>
      <c r="L7" s="99"/>
      <c r="M7" s="99"/>
      <c r="N7" s="99"/>
      <c r="O7" s="99"/>
      <c r="P7" s="99"/>
      <c r="Q7" s="99"/>
      <c r="R7" s="107"/>
    </row>
    <row r="8" spans="1:26" ht="12.75" customHeight="1" x14ac:dyDescent="0.3">
      <c r="A8" s="152"/>
      <c r="B8" s="94"/>
      <c r="C8" s="94"/>
      <c r="D8" s="94"/>
      <c r="E8" s="94"/>
      <c r="F8" s="94"/>
      <c r="G8" s="94"/>
      <c r="H8" s="94"/>
      <c r="I8" s="94"/>
      <c r="J8" s="94"/>
      <c r="K8" s="2"/>
      <c r="L8" s="140"/>
      <c r="M8" s="141"/>
      <c r="N8" s="141"/>
      <c r="O8" s="141"/>
      <c r="P8" s="141"/>
      <c r="Q8" s="141"/>
      <c r="R8" s="142"/>
    </row>
    <row r="9" spans="1:26" ht="19.5" customHeight="1" x14ac:dyDescent="0.3">
      <c r="A9" s="153"/>
      <c r="B9" s="99"/>
      <c r="C9" s="99"/>
      <c r="D9" s="99"/>
      <c r="E9" s="99"/>
      <c r="F9" s="99"/>
      <c r="G9" s="99"/>
      <c r="H9" s="99"/>
      <c r="I9" s="99"/>
      <c r="J9" s="99"/>
      <c r="K9" s="3"/>
      <c r="L9" s="4"/>
      <c r="M9" s="143" t="s">
        <v>5</v>
      </c>
      <c r="N9" s="144"/>
      <c r="O9" s="144"/>
      <c r="P9" s="144"/>
      <c r="Q9" s="144"/>
      <c r="R9" s="145"/>
      <c r="S9" s="5"/>
    </row>
    <row r="10" spans="1:26" ht="19.5" customHeight="1" x14ac:dyDescent="0.3">
      <c r="A10" s="154" t="s">
        <v>6</v>
      </c>
      <c r="B10" s="94"/>
      <c r="C10" s="94"/>
      <c r="D10" s="94"/>
      <c r="E10" s="94"/>
      <c r="F10" s="94"/>
      <c r="G10" s="94"/>
      <c r="H10" s="94"/>
      <c r="I10" s="94"/>
      <c r="J10" s="94"/>
      <c r="K10" s="6"/>
      <c r="M10" s="146" t="s">
        <v>7</v>
      </c>
      <c r="N10" s="141"/>
      <c r="O10" s="141"/>
      <c r="P10" s="141"/>
      <c r="Q10" s="141"/>
      <c r="R10" s="142"/>
    </row>
    <row r="11" spans="1:26" ht="12.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ht="14.25" customHeight="1" x14ac:dyDescent="0.3">
      <c r="A12" s="147" t="s">
        <v>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9"/>
    </row>
    <row r="13" spans="1:26" ht="42" customHeight="1" x14ac:dyDescent="0.3">
      <c r="A13" s="101" t="s">
        <v>9</v>
      </c>
      <c r="B13" s="105"/>
      <c r="C13" s="93" t="s">
        <v>10</v>
      </c>
      <c r="D13" s="94"/>
      <c r="E13" s="94"/>
      <c r="F13" s="105"/>
      <c r="G13" s="189" t="s">
        <v>11</v>
      </c>
      <c r="H13" s="109"/>
      <c r="I13" s="109"/>
      <c r="J13" s="110"/>
      <c r="K13" s="28" t="s">
        <v>12</v>
      </c>
      <c r="L13" s="28" t="s">
        <v>13</v>
      </c>
      <c r="M13" s="111" t="s">
        <v>14</v>
      </c>
      <c r="N13" s="109"/>
      <c r="O13" s="109"/>
      <c r="P13" s="110"/>
      <c r="Q13" s="111" t="s">
        <v>15</v>
      </c>
      <c r="R13" s="110"/>
      <c r="S13" s="9"/>
    </row>
    <row r="14" spans="1:26" ht="21" customHeight="1" x14ac:dyDescent="0.3">
      <c r="A14" s="96"/>
      <c r="B14" s="106"/>
      <c r="C14" s="96"/>
      <c r="D14" s="55"/>
      <c r="E14" s="55"/>
      <c r="F14" s="106"/>
      <c r="G14" s="88" t="s">
        <v>21</v>
      </c>
      <c r="H14" s="73"/>
      <c r="I14" s="73"/>
      <c r="J14" s="74"/>
      <c r="K14" s="11" t="e">
        <f t="array" ref="K14">INDEX(z_3_Materias!B2:B51, MATCH(G14, z_3_Materias!A2:A51, 0))</f>
        <v>#N/A</v>
      </c>
      <c r="L14" s="10" t="s">
        <v>106</v>
      </c>
      <c r="M14" s="139" t="e">
        <f t="array" ref="M14">INDEX(z_3_Materias!D2:D51, MATCH(G14, z_3_Materias!A2:A51, 0))</f>
        <v>#N/A</v>
      </c>
      <c r="N14" s="73"/>
      <c r="O14" s="73"/>
      <c r="P14" s="74"/>
      <c r="Q14" s="198" t="e">
        <f>SUM(M14:P18)</f>
        <v>#N/A</v>
      </c>
      <c r="R14" s="125"/>
      <c r="S14" s="9" t="str">
        <f t="shared" ref="S14:S18" si="0">G14&amp;" "&amp;L14</f>
        <v xml:space="preserve">  DDA401</v>
      </c>
    </row>
    <row r="15" spans="1:26" ht="21" customHeight="1" x14ac:dyDescent="0.3">
      <c r="A15" s="96"/>
      <c r="B15" s="106"/>
      <c r="C15" s="96"/>
      <c r="D15" s="55"/>
      <c r="E15" s="55"/>
      <c r="F15" s="106"/>
      <c r="G15" s="88" t="s">
        <v>21</v>
      </c>
      <c r="H15" s="73"/>
      <c r="I15" s="73"/>
      <c r="J15" s="74"/>
      <c r="K15" s="11" t="e">
        <f t="array" ref="K15">INDEX(z_3_Materias!B2:B51, MATCH(G15, z_3_Materias!A2:A51, 0))</f>
        <v>#N/A</v>
      </c>
      <c r="L15" s="10" t="s">
        <v>107</v>
      </c>
      <c r="M15" s="139" t="e">
        <f t="array" ref="M15">INDEX(z_3_Materias!D2:D51, MATCH(G15, z_3_Materias!A2:A51, 0))</f>
        <v>#N/A</v>
      </c>
      <c r="N15" s="73"/>
      <c r="O15" s="73"/>
      <c r="P15" s="74"/>
      <c r="Q15" s="96"/>
      <c r="R15" s="106"/>
      <c r="S15" s="9" t="str">
        <f t="shared" si="0"/>
        <v xml:space="preserve">  DDA402</v>
      </c>
    </row>
    <row r="16" spans="1:26" ht="21" customHeight="1" x14ac:dyDescent="0.3">
      <c r="A16" s="96"/>
      <c r="B16" s="106"/>
      <c r="C16" s="96"/>
      <c r="D16" s="55"/>
      <c r="E16" s="55"/>
      <c r="F16" s="106"/>
      <c r="G16" s="88" t="s">
        <v>21</v>
      </c>
      <c r="H16" s="73"/>
      <c r="I16" s="73"/>
      <c r="J16" s="74"/>
      <c r="K16" s="11" t="e">
        <f t="array" ref="K16">INDEX(z_3_Materias!B3:B52, MATCH(G16, z_3_Materias!A3:A52, 0))</f>
        <v>#N/A</v>
      </c>
      <c r="L16" s="10" t="s">
        <v>108</v>
      </c>
      <c r="M16" s="139" t="e">
        <f t="array" ref="M16">INDEX(z_3_Materias!D2:D51, MATCH(G16, z_3_Materias!A2:A51, 0))</f>
        <v>#N/A</v>
      </c>
      <c r="N16" s="73"/>
      <c r="O16" s="73"/>
      <c r="P16" s="74"/>
      <c r="Q16" s="96"/>
      <c r="R16" s="106"/>
      <c r="S16" s="9" t="str">
        <f t="shared" si="0"/>
        <v xml:space="preserve">  DDA403</v>
      </c>
    </row>
    <row r="17" spans="1:19" ht="21" customHeight="1" x14ac:dyDescent="0.3">
      <c r="A17" s="96"/>
      <c r="B17" s="106"/>
      <c r="C17" s="96"/>
      <c r="D17" s="55"/>
      <c r="E17" s="55"/>
      <c r="F17" s="106"/>
      <c r="G17" s="88" t="s">
        <v>21</v>
      </c>
      <c r="H17" s="73"/>
      <c r="I17" s="73"/>
      <c r="J17" s="74"/>
      <c r="K17" s="11" t="e">
        <f t="array" ref="K17">INDEX(z_3_Materias!B4:B53, MATCH(G17, z_3_Materias!A4:A53, 0))</f>
        <v>#N/A</v>
      </c>
      <c r="L17" s="10"/>
      <c r="M17" s="139" t="e">
        <f t="array" ref="M17">INDEX(z_3_Materias!D2:D51, MATCH(G17, z_3_Materias!A2:A51, 0))</f>
        <v>#N/A</v>
      </c>
      <c r="N17" s="73"/>
      <c r="O17" s="73"/>
      <c r="P17" s="74"/>
      <c r="Q17" s="96"/>
      <c r="R17" s="106"/>
      <c r="S17" s="9" t="str">
        <f t="shared" si="0"/>
        <v xml:space="preserve">  </v>
      </c>
    </row>
    <row r="18" spans="1:19" ht="21" customHeight="1" x14ac:dyDescent="0.3">
      <c r="A18" s="96"/>
      <c r="B18" s="106"/>
      <c r="C18" s="96"/>
      <c r="D18" s="55"/>
      <c r="E18" s="55"/>
      <c r="F18" s="106"/>
      <c r="G18" s="88" t="s">
        <v>21</v>
      </c>
      <c r="H18" s="73"/>
      <c r="I18" s="73"/>
      <c r="J18" s="74"/>
      <c r="K18" s="11" t="e">
        <f t="array" ref="K18">INDEX(z_3_Materias!B5:B54, MATCH(G18, z_3_Materias!A5:A54, 0))</f>
        <v>#N/A</v>
      </c>
      <c r="L18" s="10"/>
      <c r="M18" s="150" t="e">
        <f t="array" ref="M18">INDEX(z_3_Materias!D2:D51, MATCH(G18, z_3_Materias!A2:A51, 0))</f>
        <v>#N/A</v>
      </c>
      <c r="N18" s="86"/>
      <c r="O18" s="86"/>
      <c r="P18" s="87"/>
      <c r="Q18" s="98"/>
      <c r="R18" s="107"/>
      <c r="S18" s="9" t="str">
        <f t="shared" si="0"/>
        <v xml:space="preserve">  </v>
      </c>
    </row>
    <row r="19" spans="1:19" ht="21" customHeight="1" x14ac:dyDescent="0.3">
      <c r="A19" s="96"/>
      <c r="B19" s="106"/>
      <c r="C19" s="98"/>
      <c r="D19" s="99"/>
      <c r="E19" s="99"/>
      <c r="F19" s="107"/>
      <c r="G19" s="191" t="s">
        <v>22</v>
      </c>
      <c r="H19" s="61"/>
      <c r="I19" s="61"/>
      <c r="J19" s="61"/>
      <c r="K19" s="62"/>
      <c r="L19" s="191" t="s">
        <v>23</v>
      </c>
      <c r="M19" s="61"/>
      <c r="N19" s="61"/>
      <c r="O19" s="61"/>
      <c r="P19" s="62"/>
      <c r="Q19" s="191" t="s">
        <v>24</v>
      </c>
      <c r="R19" s="62"/>
      <c r="S19" s="9"/>
    </row>
    <row r="20" spans="1:19" ht="16.5" customHeight="1" x14ac:dyDescent="0.3">
      <c r="A20" s="96"/>
      <c r="B20" s="106"/>
      <c r="C20" s="93" t="s">
        <v>25</v>
      </c>
      <c r="D20" s="94"/>
      <c r="E20" s="94"/>
      <c r="F20" s="105"/>
      <c r="G20" s="192"/>
      <c r="H20" s="57"/>
      <c r="I20" s="57"/>
      <c r="J20" s="57"/>
      <c r="K20" s="77"/>
      <c r="L20" s="155"/>
      <c r="M20" s="55"/>
      <c r="N20" s="55"/>
      <c r="O20" s="55"/>
      <c r="P20" s="106"/>
      <c r="Q20" s="76"/>
      <c r="R20" s="77"/>
      <c r="S20" s="9"/>
    </row>
    <row r="21" spans="1:19" ht="16.5" customHeight="1" x14ac:dyDescent="0.3">
      <c r="A21" s="96"/>
      <c r="B21" s="106"/>
      <c r="C21" s="96"/>
      <c r="D21" s="55"/>
      <c r="E21" s="55"/>
      <c r="F21" s="106"/>
      <c r="G21" s="78"/>
      <c r="H21" s="73"/>
      <c r="I21" s="73"/>
      <c r="J21" s="73"/>
      <c r="K21" s="74"/>
      <c r="L21" s="126"/>
      <c r="M21" s="124"/>
      <c r="N21" s="124"/>
      <c r="O21" s="124"/>
      <c r="P21" s="125"/>
      <c r="Q21" s="76"/>
      <c r="R21" s="77"/>
      <c r="S21" s="9"/>
    </row>
    <row r="22" spans="1:19" ht="16.5" customHeight="1" x14ac:dyDescent="0.3">
      <c r="A22" s="96"/>
      <c r="B22" s="106"/>
      <c r="C22" s="96"/>
      <c r="D22" s="55"/>
      <c r="E22" s="55"/>
      <c r="F22" s="106"/>
      <c r="G22" s="78"/>
      <c r="H22" s="73"/>
      <c r="I22" s="73"/>
      <c r="J22" s="73"/>
      <c r="K22" s="74"/>
      <c r="L22" s="126"/>
      <c r="M22" s="124"/>
      <c r="N22" s="124"/>
      <c r="O22" s="124"/>
      <c r="P22" s="125"/>
      <c r="Q22" s="116"/>
      <c r="R22" s="74"/>
      <c r="S22" s="9"/>
    </row>
    <row r="23" spans="1:19" ht="16.5" customHeight="1" x14ac:dyDescent="0.3">
      <c r="A23" s="96"/>
      <c r="B23" s="106"/>
      <c r="C23" s="96"/>
      <c r="D23" s="55"/>
      <c r="E23" s="55"/>
      <c r="F23" s="106"/>
      <c r="G23" s="78"/>
      <c r="H23" s="73"/>
      <c r="I23" s="73"/>
      <c r="J23" s="73"/>
      <c r="K23" s="74"/>
      <c r="L23" s="126"/>
      <c r="M23" s="124"/>
      <c r="N23" s="124"/>
      <c r="O23" s="124"/>
      <c r="P23" s="125"/>
      <c r="Q23" s="88"/>
      <c r="R23" s="74"/>
      <c r="S23" s="9"/>
    </row>
    <row r="24" spans="1:19" ht="16.5" customHeight="1" x14ac:dyDescent="0.3">
      <c r="A24" s="96"/>
      <c r="B24" s="106"/>
      <c r="C24" s="96"/>
      <c r="D24" s="55"/>
      <c r="E24" s="55"/>
      <c r="F24" s="106"/>
      <c r="G24" s="85"/>
      <c r="H24" s="86"/>
      <c r="I24" s="86"/>
      <c r="J24" s="86"/>
      <c r="K24" s="87"/>
      <c r="L24" s="115"/>
      <c r="M24" s="86"/>
      <c r="N24" s="86"/>
      <c r="O24" s="86"/>
      <c r="P24" s="87"/>
      <c r="Q24" s="88"/>
      <c r="R24" s="74"/>
      <c r="S24" s="9"/>
    </row>
    <row r="25" spans="1:19" ht="16.5" customHeight="1" x14ac:dyDescent="0.3">
      <c r="A25" s="96"/>
      <c r="B25" s="106"/>
      <c r="C25" s="98"/>
      <c r="D25" s="99"/>
      <c r="E25" s="99"/>
      <c r="F25" s="107"/>
      <c r="G25" s="191" t="s">
        <v>26</v>
      </c>
      <c r="H25" s="61"/>
      <c r="I25" s="61"/>
      <c r="J25" s="61"/>
      <c r="K25" s="62"/>
      <c r="L25" s="191" t="s">
        <v>23</v>
      </c>
      <c r="M25" s="61"/>
      <c r="N25" s="61"/>
      <c r="O25" s="61"/>
      <c r="P25" s="62"/>
      <c r="Q25" s="195" t="s">
        <v>24</v>
      </c>
      <c r="R25" s="110"/>
      <c r="S25" s="9"/>
    </row>
    <row r="26" spans="1:19" ht="16.5" customHeight="1" x14ac:dyDescent="0.3">
      <c r="A26" s="96"/>
      <c r="B26" s="106"/>
      <c r="C26" s="93" t="s">
        <v>27</v>
      </c>
      <c r="D26" s="94"/>
      <c r="E26" s="94"/>
      <c r="F26" s="95"/>
      <c r="G26" s="88"/>
      <c r="H26" s="73"/>
      <c r="I26" s="73"/>
      <c r="J26" s="73"/>
      <c r="K26" s="74"/>
      <c r="L26" s="88"/>
      <c r="M26" s="73"/>
      <c r="N26" s="73"/>
      <c r="O26" s="73"/>
      <c r="P26" s="89"/>
      <c r="Q26" s="116"/>
      <c r="R26" s="74"/>
      <c r="S26" s="9"/>
    </row>
    <row r="27" spans="1:19" ht="16.5" customHeight="1" x14ac:dyDescent="0.3">
      <c r="A27" s="96"/>
      <c r="B27" s="106"/>
      <c r="C27" s="96"/>
      <c r="D27" s="55"/>
      <c r="E27" s="55"/>
      <c r="F27" s="97"/>
      <c r="G27" s="88"/>
      <c r="H27" s="73"/>
      <c r="I27" s="73"/>
      <c r="J27" s="73"/>
      <c r="K27" s="74"/>
      <c r="L27" s="88"/>
      <c r="M27" s="73"/>
      <c r="N27" s="73"/>
      <c r="O27" s="73"/>
      <c r="P27" s="89"/>
      <c r="Q27" s="88"/>
      <c r="R27" s="74"/>
      <c r="S27" s="9"/>
    </row>
    <row r="28" spans="1:19" ht="16.5" customHeight="1" x14ac:dyDescent="0.3">
      <c r="A28" s="96"/>
      <c r="B28" s="106"/>
      <c r="C28" s="96"/>
      <c r="D28" s="55"/>
      <c r="E28" s="55"/>
      <c r="F28" s="97"/>
      <c r="G28" s="88"/>
      <c r="H28" s="73"/>
      <c r="I28" s="73"/>
      <c r="J28" s="73"/>
      <c r="K28" s="74"/>
      <c r="L28" s="88"/>
      <c r="M28" s="73"/>
      <c r="N28" s="73"/>
      <c r="O28" s="73"/>
      <c r="P28" s="74"/>
      <c r="Q28" s="88"/>
      <c r="R28" s="74"/>
      <c r="S28" s="9"/>
    </row>
    <row r="29" spans="1:19" ht="16.5" customHeight="1" x14ac:dyDescent="0.3">
      <c r="A29" s="96"/>
      <c r="B29" s="106"/>
      <c r="C29" s="96"/>
      <c r="D29" s="55"/>
      <c r="E29" s="55"/>
      <c r="F29" s="97"/>
      <c r="G29" s="115"/>
      <c r="H29" s="86"/>
      <c r="I29" s="86"/>
      <c r="J29" s="86"/>
      <c r="K29" s="87"/>
      <c r="L29" s="115"/>
      <c r="M29" s="86"/>
      <c r="N29" s="86"/>
      <c r="O29" s="86"/>
      <c r="P29" s="157"/>
      <c r="Q29" s="115"/>
      <c r="R29" s="87"/>
      <c r="S29" s="9"/>
    </row>
    <row r="30" spans="1:19" ht="16.5" customHeight="1" x14ac:dyDescent="0.3">
      <c r="A30" s="98"/>
      <c r="B30" s="107"/>
      <c r="C30" s="98"/>
      <c r="D30" s="99"/>
      <c r="E30" s="99"/>
      <c r="F30" s="100"/>
      <c r="G30" s="191" t="s">
        <v>26</v>
      </c>
      <c r="H30" s="61"/>
      <c r="I30" s="61"/>
      <c r="J30" s="61"/>
      <c r="K30" s="62"/>
      <c r="L30" s="194" t="s">
        <v>28</v>
      </c>
      <c r="M30" s="141"/>
      <c r="N30" s="141"/>
      <c r="O30" s="141"/>
      <c r="P30" s="165"/>
      <c r="Q30" s="191" t="s">
        <v>24</v>
      </c>
      <c r="R30" s="62"/>
      <c r="S30" s="9"/>
    </row>
    <row r="31" spans="1:19" ht="21" customHeight="1" x14ac:dyDescent="0.3">
      <c r="A31" s="101" t="s">
        <v>29</v>
      </c>
      <c r="B31" s="94"/>
      <c r="C31" s="94"/>
      <c r="D31" s="94"/>
      <c r="E31" s="94"/>
      <c r="F31" s="94"/>
      <c r="G31" s="108"/>
      <c r="H31" s="109"/>
      <c r="I31" s="109"/>
      <c r="J31" s="109"/>
      <c r="K31" s="110"/>
      <c r="L31" s="108"/>
      <c r="M31" s="109"/>
      <c r="N31" s="109"/>
      <c r="O31" s="109"/>
      <c r="P31" s="110"/>
      <c r="Q31" s="111"/>
      <c r="R31" s="110"/>
      <c r="S31" s="9"/>
    </row>
    <row r="32" spans="1:19" ht="21" customHeight="1" x14ac:dyDescent="0.3">
      <c r="A32" s="96"/>
      <c r="B32" s="55"/>
      <c r="C32" s="55"/>
      <c r="D32" s="55"/>
      <c r="E32" s="55"/>
      <c r="F32" s="55"/>
      <c r="G32" s="88"/>
      <c r="H32" s="73"/>
      <c r="I32" s="73"/>
      <c r="J32" s="73"/>
      <c r="K32" s="74"/>
      <c r="L32" s="88"/>
      <c r="M32" s="73"/>
      <c r="N32" s="73"/>
      <c r="O32" s="73"/>
      <c r="P32" s="74"/>
      <c r="Q32" s="88"/>
      <c r="R32" s="74"/>
      <c r="S32" s="9"/>
    </row>
    <row r="33" spans="1:20" ht="21" customHeight="1" x14ac:dyDescent="0.3">
      <c r="A33" s="96"/>
      <c r="B33" s="55"/>
      <c r="C33" s="55"/>
      <c r="D33" s="55"/>
      <c r="E33" s="55"/>
      <c r="F33" s="55"/>
      <c r="G33" s="88"/>
      <c r="H33" s="73"/>
      <c r="I33" s="73"/>
      <c r="J33" s="73"/>
      <c r="K33" s="74"/>
      <c r="L33" s="88"/>
      <c r="M33" s="73"/>
      <c r="N33" s="73"/>
      <c r="O33" s="73"/>
      <c r="P33" s="74"/>
      <c r="Q33" s="88"/>
      <c r="R33" s="74"/>
      <c r="S33" s="9"/>
    </row>
    <row r="34" spans="1:20" ht="21" customHeight="1" x14ac:dyDescent="0.3">
      <c r="A34" s="98"/>
      <c r="B34" s="99"/>
      <c r="C34" s="99"/>
      <c r="D34" s="99"/>
      <c r="E34" s="99"/>
      <c r="F34" s="99"/>
      <c r="G34" s="115"/>
      <c r="H34" s="86"/>
      <c r="I34" s="86"/>
      <c r="J34" s="86"/>
      <c r="K34" s="87"/>
      <c r="L34" s="115"/>
      <c r="M34" s="86"/>
      <c r="N34" s="86"/>
      <c r="O34" s="86"/>
      <c r="P34" s="87"/>
      <c r="Q34" s="115"/>
      <c r="R34" s="87"/>
      <c r="S34" s="9"/>
    </row>
    <row r="35" spans="1:20" ht="16.5" customHeight="1" x14ac:dyDescent="0.3">
      <c r="A35" s="128" t="s">
        <v>30</v>
      </c>
      <c r="B35" s="94"/>
      <c r="C35" s="94"/>
      <c r="D35" s="94"/>
      <c r="E35" s="94"/>
      <c r="F35" s="95"/>
      <c r="G35" s="93"/>
      <c r="H35" s="94"/>
      <c r="I35" s="94"/>
      <c r="J35" s="94"/>
      <c r="K35" s="105"/>
      <c r="L35" s="122"/>
      <c r="M35" s="94"/>
      <c r="N35" s="94"/>
      <c r="O35" s="94"/>
      <c r="P35" s="105"/>
      <c r="Q35" s="93"/>
      <c r="R35" s="105"/>
      <c r="S35" s="9"/>
    </row>
    <row r="36" spans="1:20" ht="16.5" customHeight="1" x14ac:dyDescent="0.3">
      <c r="A36" s="96"/>
      <c r="B36" s="55"/>
      <c r="C36" s="55"/>
      <c r="D36" s="55"/>
      <c r="E36" s="55"/>
      <c r="F36" s="97"/>
      <c r="G36" s="88"/>
      <c r="H36" s="73"/>
      <c r="I36" s="73"/>
      <c r="J36" s="73"/>
      <c r="K36" s="74"/>
      <c r="L36" s="123"/>
      <c r="M36" s="124"/>
      <c r="N36" s="124"/>
      <c r="O36" s="124"/>
      <c r="P36" s="125"/>
      <c r="Q36" s="126"/>
      <c r="R36" s="125"/>
      <c r="S36" s="9"/>
    </row>
    <row r="37" spans="1:20" ht="16.5" customHeight="1" x14ac:dyDescent="0.3">
      <c r="A37" s="96"/>
      <c r="B37" s="55"/>
      <c r="C37" s="55"/>
      <c r="D37" s="55"/>
      <c r="E37" s="55"/>
      <c r="F37" s="97"/>
      <c r="G37" s="115"/>
      <c r="H37" s="86"/>
      <c r="I37" s="86"/>
      <c r="J37" s="86"/>
      <c r="K37" s="87"/>
      <c r="L37" s="127"/>
      <c r="M37" s="86"/>
      <c r="N37" s="86"/>
      <c r="O37" s="86"/>
      <c r="P37" s="87"/>
      <c r="Q37" s="126"/>
      <c r="R37" s="125"/>
      <c r="S37" s="9"/>
    </row>
    <row r="38" spans="1:20" ht="16.5" customHeight="1" x14ac:dyDescent="0.3">
      <c r="A38" s="98"/>
      <c r="B38" s="99"/>
      <c r="C38" s="99"/>
      <c r="D38" s="99"/>
      <c r="E38" s="99"/>
      <c r="F38" s="100"/>
      <c r="G38" s="117" t="s">
        <v>31</v>
      </c>
      <c r="H38" s="99"/>
      <c r="I38" s="99"/>
      <c r="J38" s="99"/>
      <c r="K38" s="99"/>
      <c r="L38" s="99"/>
      <c r="M38" s="99"/>
      <c r="N38" s="99"/>
      <c r="O38" s="99"/>
      <c r="P38" s="107"/>
      <c r="Q38" s="121" t="e">
        <f>SUM(Q14,Q20:R24,Q26:R29,Q31:R33,Q35:R37)</f>
        <v>#N/A</v>
      </c>
      <c r="R38" s="62"/>
      <c r="S38" s="9"/>
    </row>
    <row r="39" spans="1:20" ht="21" customHeight="1" x14ac:dyDescent="0.3">
      <c r="A39" s="7"/>
      <c r="B39" s="7"/>
      <c r="C39" s="7"/>
      <c r="D39" s="13"/>
      <c r="E39" s="13"/>
      <c r="F39" s="13"/>
      <c r="G39" s="13"/>
      <c r="H39" s="14"/>
      <c r="I39" s="14"/>
      <c r="J39" s="7"/>
      <c r="K39" s="8"/>
      <c r="L39" s="8"/>
      <c r="M39" s="7"/>
      <c r="N39" s="14"/>
      <c r="O39" s="14"/>
      <c r="P39" s="14"/>
      <c r="Q39" s="14"/>
      <c r="R39" s="7"/>
      <c r="S39" s="9"/>
    </row>
    <row r="40" spans="1:20" ht="12.75" customHeight="1" x14ac:dyDescent="0.3">
      <c r="A40" s="153" t="s">
        <v>32</v>
      </c>
      <c r="B40" s="99"/>
      <c r="C40" s="99"/>
      <c r="D40" s="99"/>
      <c r="E40" s="99"/>
      <c r="F40" s="99"/>
      <c r="G40" s="8"/>
      <c r="H40" s="8"/>
      <c r="I40" s="8"/>
      <c r="J40" s="8"/>
      <c r="K40" s="15"/>
      <c r="L40" s="15"/>
      <c r="M40" s="8"/>
      <c r="N40" s="8"/>
      <c r="O40" s="8"/>
      <c r="P40" s="8"/>
      <c r="Q40" s="8"/>
      <c r="R40" s="8"/>
      <c r="S40" s="9"/>
    </row>
    <row r="41" spans="1:20" ht="15.75" customHeight="1" x14ac:dyDescent="0.3">
      <c r="A41" s="101" t="s">
        <v>33</v>
      </c>
      <c r="B41" s="94"/>
      <c r="C41" s="94"/>
      <c r="D41" s="94"/>
      <c r="E41" s="94"/>
      <c r="F41" s="105"/>
      <c r="G41" s="167" t="s">
        <v>34</v>
      </c>
      <c r="H41" s="105"/>
      <c r="I41" s="101" t="s">
        <v>35</v>
      </c>
      <c r="J41" s="105"/>
      <c r="K41" s="12" t="s">
        <v>36</v>
      </c>
      <c r="L41" s="29"/>
      <c r="M41" s="101" t="s">
        <v>37</v>
      </c>
      <c r="N41" s="94"/>
      <c r="O41" s="101" t="s">
        <v>38</v>
      </c>
      <c r="P41" s="105"/>
      <c r="Q41" s="101" t="s">
        <v>39</v>
      </c>
      <c r="R41" s="105"/>
      <c r="S41" s="9"/>
      <c r="T41" s="8"/>
    </row>
    <row r="42" spans="1:20" ht="54.75" customHeight="1" x14ac:dyDescent="0.3">
      <c r="A42" s="162" t="s">
        <v>40</v>
      </c>
      <c r="B42" s="61"/>
      <c r="C42" s="61"/>
      <c r="D42" s="61"/>
      <c r="E42" s="61"/>
      <c r="F42" s="62"/>
      <c r="G42" s="63"/>
      <c r="H42" s="62"/>
      <c r="I42" s="63"/>
      <c r="J42" s="62"/>
      <c r="K42" s="16"/>
      <c r="L42" s="30"/>
      <c r="M42" s="63"/>
      <c r="N42" s="62"/>
      <c r="O42" s="63"/>
      <c r="P42" s="62"/>
      <c r="Q42" s="63"/>
      <c r="R42" s="62"/>
      <c r="S42" s="9"/>
    </row>
    <row r="43" spans="1:20" ht="54.75" customHeight="1" x14ac:dyDescent="0.3">
      <c r="A43" s="162" t="s">
        <v>41</v>
      </c>
      <c r="B43" s="61"/>
      <c r="C43" s="61"/>
      <c r="D43" s="61"/>
      <c r="E43" s="61"/>
      <c r="F43" s="62"/>
      <c r="G43" s="63"/>
      <c r="H43" s="62"/>
      <c r="I43" s="63"/>
      <c r="J43" s="62"/>
      <c r="K43" s="16"/>
      <c r="L43" s="30"/>
      <c r="M43" s="63"/>
      <c r="N43" s="62"/>
      <c r="O43" s="63"/>
      <c r="P43" s="62"/>
      <c r="Q43" s="63"/>
      <c r="R43" s="62"/>
      <c r="S43" s="9"/>
    </row>
    <row r="44" spans="1:20" ht="54.75" customHeight="1" x14ac:dyDescent="0.3">
      <c r="A44" s="162" t="s">
        <v>42</v>
      </c>
      <c r="B44" s="61"/>
      <c r="C44" s="61"/>
      <c r="D44" s="61"/>
      <c r="E44" s="61"/>
      <c r="F44" s="62"/>
      <c r="G44" s="63"/>
      <c r="H44" s="62"/>
      <c r="I44" s="63"/>
      <c r="J44" s="62"/>
      <c r="K44" s="16"/>
      <c r="L44" s="30"/>
      <c r="M44" s="63"/>
      <c r="N44" s="62"/>
      <c r="O44" s="63"/>
      <c r="P44" s="62"/>
      <c r="Q44" s="63"/>
      <c r="R44" s="62"/>
      <c r="S44" s="9"/>
    </row>
    <row r="45" spans="1:20" ht="54.75" customHeight="1" x14ac:dyDescent="0.3">
      <c r="A45" s="162" t="s">
        <v>43</v>
      </c>
      <c r="B45" s="61"/>
      <c r="C45" s="61"/>
      <c r="D45" s="61"/>
      <c r="E45" s="61"/>
      <c r="F45" s="62"/>
      <c r="G45" s="63"/>
      <c r="H45" s="62"/>
      <c r="I45" s="63"/>
      <c r="J45" s="62"/>
      <c r="K45" s="16"/>
      <c r="L45" s="30"/>
      <c r="M45" s="63"/>
      <c r="N45" s="62"/>
      <c r="O45" s="63"/>
      <c r="P45" s="62"/>
      <c r="Q45" s="63"/>
      <c r="R45" s="62"/>
      <c r="S45" s="9"/>
    </row>
    <row r="46" spans="1:20" ht="54.75" customHeight="1" x14ac:dyDescent="0.3">
      <c r="A46" s="162" t="s">
        <v>44</v>
      </c>
      <c r="B46" s="61"/>
      <c r="C46" s="61"/>
      <c r="D46" s="61"/>
      <c r="E46" s="61"/>
      <c r="F46" s="62"/>
      <c r="G46" s="63"/>
      <c r="H46" s="62"/>
      <c r="I46" s="63"/>
      <c r="J46" s="62"/>
      <c r="K46" s="16"/>
      <c r="L46" s="30"/>
      <c r="M46" s="63"/>
      <c r="N46" s="62"/>
      <c r="O46" s="63"/>
      <c r="P46" s="62"/>
      <c r="Q46" s="63"/>
      <c r="R46" s="62"/>
      <c r="S46" s="9"/>
    </row>
    <row r="47" spans="1:20" ht="54.75" customHeight="1" x14ac:dyDescent="0.3">
      <c r="A47" s="162" t="s">
        <v>45</v>
      </c>
      <c r="B47" s="61"/>
      <c r="C47" s="61"/>
      <c r="D47" s="61"/>
      <c r="E47" s="61"/>
      <c r="F47" s="62"/>
      <c r="G47" s="63"/>
      <c r="H47" s="62"/>
      <c r="I47" s="63"/>
      <c r="J47" s="62"/>
      <c r="K47" s="16"/>
      <c r="L47" s="30"/>
      <c r="M47" s="63"/>
      <c r="N47" s="62"/>
      <c r="O47" s="63"/>
      <c r="P47" s="62"/>
      <c r="Q47" s="63"/>
      <c r="R47" s="62"/>
      <c r="S47" s="9"/>
    </row>
    <row r="48" spans="1:20" ht="54.75" customHeight="1" x14ac:dyDescent="0.3">
      <c r="A48" s="162" t="s">
        <v>46</v>
      </c>
      <c r="B48" s="61"/>
      <c r="C48" s="61"/>
      <c r="D48" s="61"/>
      <c r="E48" s="61"/>
      <c r="F48" s="62"/>
      <c r="G48" s="63"/>
      <c r="H48" s="62"/>
      <c r="I48" s="63"/>
      <c r="J48" s="62"/>
      <c r="K48" s="16"/>
      <c r="L48" s="30"/>
      <c r="M48" s="63"/>
      <c r="N48" s="62"/>
      <c r="O48" s="63"/>
      <c r="P48" s="62"/>
      <c r="Q48" s="63"/>
      <c r="R48" s="62"/>
      <c r="S48" s="9"/>
    </row>
    <row r="49" spans="1:19" ht="54.75" customHeight="1" x14ac:dyDescent="0.3">
      <c r="A49" s="162" t="s">
        <v>47</v>
      </c>
      <c r="B49" s="61"/>
      <c r="C49" s="61"/>
      <c r="D49" s="61"/>
      <c r="E49" s="61"/>
      <c r="F49" s="62"/>
      <c r="G49" s="63"/>
      <c r="H49" s="62"/>
      <c r="I49" s="63"/>
      <c r="J49" s="62"/>
      <c r="K49" s="16"/>
      <c r="L49" s="30"/>
      <c r="M49" s="63"/>
      <c r="N49" s="62"/>
      <c r="O49" s="63"/>
      <c r="P49" s="62"/>
      <c r="Q49" s="63"/>
      <c r="R49" s="62"/>
      <c r="S49" s="9"/>
    </row>
    <row r="50" spans="1:19" ht="54.75" customHeight="1" x14ac:dyDescent="0.3">
      <c r="A50" s="162" t="s">
        <v>48</v>
      </c>
      <c r="B50" s="61"/>
      <c r="C50" s="61"/>
      <c r="D50" s="61"/>
      <c r="E50" s="61"/>
      <c r="F50" s="62"/>
      <c r="G50" s="63"/>
      <c r="H50" s="62"/>
      <c r="I50" s="63"/>
      <c r="J50" s="62"/>
      <c r="K50" s="16"/>
      <c r="L50" s="30"/>
      <c r="M50" s="63"/>
      <c r="N50" s="62"/>
      <c r="O50" s="63"/>
      <c r="P50" s="62"/>
      <c r="Q50" s="63"/>
      <c r="R50" s="62"/>
      <c r="S50" s="9"/>
    </row>
    <row r="51" spans="1:19" ht="54.75" customHeight="1" x14ac:dyDescent="0.3">
      <c r="A51" s="162" t="s">
        <v>49</v>
      </c>
      <c r="B51" s="61"/>
      <c r="C51" s="61"/>
      <c r="D51" s="61"/>
      <c r="E51" s="61"/>
      <c r="F51" s="62"/>
      <c r="G51" s="63"/>
      <c r="H51" s="62"/>
      <c r="I51" s="63"/>
      <c r="J51" s="62"/>
      <c r="K51" s="16"/>
      <c r="L51" s="30"/>
      <c r="M51" s="63"/>
      <c r="N51" s="62"/>
      <c r="O51" s="63"/>
      <c r="P51" s="62"/>
      <c r="Q51" s="63"/>
      <c r="R51" s="62"/>
      <c r="S51" s="9"/>
    </row>
    <row r="52" spans="1:19" ht="54.75" customHeight="1" x14ac:dyDescent="0.3">
      <c r="A52" s="162" t="s">
        <v>50</v>
      </c>
      <c r="B52" s="61"/>
      <c r="C52" s="61"/>
      <c r="D52" s="61"/>
      <c r="E52" s="61"/>
      <c r="F52" s="62"/>
      <c r="G52" s="63"/>
      <c r="H52" s="62"/>
      <c r="I52" s="63"/>
      <c r="J52" s="62"/>
      <c r="K52" s="16"/>
      <c r="L52" s="30"/>
      <c r="M52" s="63"/>
      <c r="N52" s="62"/>
      <c r="O52" s="63"/>
      <c r="P52" s="62"/>
      <c r="Q52" s="63"/>
      <c r="R52" s="62"/>
      <c r="S52" s="9"/>
    </row>
    <row r="53" spans="1:19" ht="54.75" customHeight="1" x14ac:dyDescent="0.3">
      <c r="A53" s="162" t="s">
        <v>51</v>
      </c>
      <c r="B53" s="61"/>
      <c r="C53" s="61"/>
      <c r="D53" s="61"/>
      <c r="E53" s="61"/>
      <c r="F53" s="62"/>
      <c r="G53" s="63"/>
      <c r="H53" s="62"/>
      <c r="I53" s="63"/>
      <c r="J53" s="62"/>
      <c r="K53" s="16"/>
      <c r="L53" s="30"/>
      <c r="M53" s="63"/>
      <c r="N53" s="62"/>
      <c r="O53" s="63"/>
      <c r="P53" s="62"/>
      <c r="Q53" s="63"/>
      <c r="R53" s="62"/>
      <c r="S53" s="9"/>
    </row>
    <row r="54" spans="1:19" ht="54.75" customHeight="1" x14ac:dyDescent="0.3">
      <c r="A54" s="162" t="s">
        <v>52</v>
      </c>
      <c r="B54" s="61"/>
      <c r="C54" s="61"/>
      <c r="D54" s="61"/>
      <c r="E54" s="61"/>
      <c r="F54" s="62"/>
      <c r="G54" s="63"/>
      <c r="H54" s="62"/>
      <c r="I54" s="63"/>
      <c r="J54" s="62"/>
      <c r="K54" s="16"/>
      <c r="L54" s="30"/>
      <c r="M54" s="63"/>
      <c r="N54" s="62"/>
      <c r="O54" s="63"/>
      <c r="P54" s="62"/>
      <c r="Q54" s="63"/>
      <c r="R54" s="62"/>
      <c r="S54" s="9"/>
    </row>
    <row r="55" spans="1:19" ht="54.75" customHeight="1" x14ac:dyDescent="0.3">
      <c r="A55" s="162" t="s">
        <v>53</v>
      </c>
      <c r="B55" s="61"/>
      <c r="C55" s="61"/>
      <c r="D55" s="61"/>
      <c r="E55" s="61"/>
      <c r="F55" s="62"/>
      <c r="G55" s="63"/>
      <c r="H55" s="62"/>
      <c r="I55" s="63"/>
      <c r="J55" s="62"/>
      <c r="K55" s="16"/>
      <c r="L55" s="30"/>
      <c r="M55" s="63"/>
      <c r="N55" s="62"/>
      <c r="O55" s="63"/>
      <c r="P55" s="62"/>
      <c r="Q55" s="63"/>
      <c r="R55" s="62"/>
      <c r="S55" s="9"/>
    </row>
    <row r="56" spans="1:19" ht="54.75" customHeight="1" x14ac:dyDescent="0.3">
      <c r="A56" s="162" t="s">
        <v>54</v>
      </c>
      <c r="B56" s="61"/>
      <c r="C56" s="61"/>
      <c r="D56" s="61"/>
      <c r="E56" s="61"/>
      <c r="F56" s="62"/>
      <c r="G56" s="63"/>
      <c r="H56" s="62"/>
      <c r="I56" s="63"/>
      <c r="J56" s="62"/>
      <c r="K56" s="16"/>
      <c r="L56" s="30"/>
      <c r="M56" s="63"/>
      <c r="N56" s="62"/>
      <c r="O56" s="63"/>
      <c r="P56" s="62"/>
      <c r="Q56" s="63"/>
      <c r="R56" s="62"/>
      <c r="S56" s="9"/>
    </row>
    <row r="57" spans="1:19" ht="8.25" customHeight="1" x14ac:dyDescent="0.3">
      <c r="A57" s="21"/>
      <c r="B57" s="21"/>
      <c r="C57" s="21"/>
      <c r="D57" s="22"/>
      <c r="E57" s="22"/>
      <c r="F57" s="22"/>
      <c r="G57" s="22"/>
      <c r="H57" s="22"/>
      <c r="I57" s="22"/>
      <c r="J57" s="22"/>
      <c r="K57" s="23"/>
      <c r="L57" s="23"/>
      <c r="M57" s="22"/>
      <c r="N57" s="22"/>
      <c r="O57" s="22"/>
      <c r="P57" s="22"/>
      <c r="Q57" s="15"/>
      <c r="R57" s="15"/>
    </row>
    <row r="58" spans="1:19" ht="12.75" customHeight="1" x14ac:dyDescent="0.3">
      <c r="A58" s="161" t="s">
        <v>55</v>
      </c>
      <c r="B58" s="55"/>
      <c r="C58" s="55"/>
      <c r="D58" s="55"/>
      <c r="E58" s="55"/>
      <c r="F58" s="55"/>
      <c r="G58" s="55"/>
      <c r="H58" s="55"/>
      <c r="L58" s="161" t="s">
        <v>55</v>
      </c>
      <c r="M58" s="55"/>
      <c r="N58" s="55"/>
      <c r="O58" s="55"/>
      <c r="P58" s="55"/>
      <c r="Q58" s="55"/>
      <c r="R58" s="24"/>
    </row>
    <row r="59" spans="1:19" ht="12.75" customHeight="1" x14ac:dyDescent="0.3">
      <c r="C59" s="23"/>
      <c r="D59" s="22"/>
      <c r="E59" s="22"/>
      <c r="F59" s="23"/>
      <c r="G59" s="23"/>
      <c r="O59" s="22"/>
      <c r="P59" s="23"/>
      <c r="Q59" s="23"/>
      <c r="R59" s="23"/>
    </row>
    <row r="60" spans="1:19" ht="12.75" customHeight="1" x14ac:dyDescent="0.3">
      <c r="F60" s="22"/>
      <c r="G60" s="22"/>
      <c r="P60" s="22"/>
      <c r="Q60" s="22"/>
      <c r="R60" s="7"/>
    </row>
    <row r="61" spans="1:19" ht="19.5" customHeight="1" x14ac:dyDescent="0.3">
      <c r="A61" s="193" t="s">
        <v>56</v>
      </c>
      <c r="B61" s="55"/>
      <c r="C61" s="55"/>
      <c r="D61" s="55"/>
      <c r="E61" s="55"/>
      <c r="F61" s="55"/>
      <c r="G61" s="55"/>
      <c r="H61" s="55"/>
      <c r="L61" s="147">
        <f>A9</f>
        <v>0</v>
      </c>
      <c r="M61" s="55"/>
      <c r="N61" s="55"/>
      <c r="O61" s="55"/>
      <c r="P61" s="55"/>
      <c r="Q61" s="8"/>
      <c r="R61" s="25"/>
    </row>
    <row r="62" spans="1:19" ht="19.5" customHeight="1" x14ac:dyDescent="0.3">
      <c r="A62" s="190" t="s">
        <v>57</v>
      </c>
      <c r="B62" s="55"/>
      <c r="C62" s="55"/>
      <c r="D62" s="55"/>
      <c r="E62" s="55"/>
      <c r="F62" s="55"/>
      <c r="G62" s="55"/>
      <c r="H62" s="55"/>
      <c r="L62" s="190" t="s">
        <v>58</v>
      </c>
      <c r="M62" s="55"/>
      <c r="N62" s="55"/>
      <c r="O62" s="55"/>
      <c r="P62" s="55"/>
      <c r="Q62" s="26"/>
      <c r="R62" s="27"/>
    </row>
    <row r="63" spans="1:19" ht="14.25" customHeight="1" x14ac:dyDescent="0.3">
      <c r="A63" s="18"/>
      <c r="B63" s="18"/>
      <c r="C63" s="18"/>
      <c r="D63" s="18"/>
      <c r="E63" s="18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</row>
    <row r="64" spans="1:19" ht="14.25" customHeight="1" x14ac:dyDescent="0.3">
      <c r="A64" s="19"/>
      <c r="B64" s="19"/>
      <c r="C64" s="19"/>
      <c r="D64" s="19"/>
      <c r="E64" s="19"/>
      <c r="F64" s="19"/>
      <c r="G64" s="19"/>
      <c r="K64" s="19"/>
      <c r="L64" s="19"/>
      <c r="M64" s="19"/>
      <c r="N64" s="19"/>
      <c r="O64" s="19"/>
      <c r="P64" s="19"/>
      <c r="Q64" s="19"/>
      <c r="R64" s="19"/>
    </row>
    <row r="65" spans="1:18" ht="14.25" customHeight="1" x14ac:dyDescent="0.3">
      <c r="A65" s="19"/>
      <c r="B65" s="19"/>
      <c r="C65" s="19"/>
      <c r="D65" s="19"/>
      <c r="E65" s="19"/>
      <c r="F65" s="19"/>
      <c r="G65" s="19"/>
      <c r="L65" s="19"/>
      <c r="M65" s="19"/>
      <c r="N65" s="19"/>
      <c r="O65" s="19"/>
      <c r="P65" s="19"/>
      <c r="Q65" s="19"/>
      <c r="R65" s="19"/>
    </row>
    <row r="66" spans="1:18" ht="14.25" customHeight="1" x14ac:dyDescent="0.3">
      <c r="A66" s="19"/>
      <c r="B66" s="19"/>
      <c r="C66" s="19"/>
      <c r="D66" s="19"/>
      <c r="E66" s="19"/>
      <c r="F66" s="19"/>
      <c r="G66" s="19"/>
      <c r="L66" s="19"/>
      <c r="M66" s="19"/>
      <c r="N66" s="19"/>
      <c r="O66" s="19"/>
      <c r="P66" s="19"/>
      <c r="Q66" s="19"/>
      <c r="R66" s="19"/>
    </row>
    <row r="67" spans="1:18" ht="14.25" customHeight="1" x14ac:dyDescent="0.3">
      <c r="A67" s="19"/>
      <c r="B67" s="19"/>
      <c r="C67" s="19"/>
      <c r="D67" s="19"/>
      <c r="E67" s="19"/>
      <c r="F67" s="19"/>
      <c r="G67" s="19"/>
      <c r="L67" s="19"/>
      <c r="M67" s="19"/>
      <c r="N67" s="19"/>
      <c r="O67" s="19"/>
      <c r="P67" s="19"/>
      <c r="Q67" s="19"/>
      <c r="R67" s="19"/>
    </row>
    <row r="68" spans="1:18" ht="14.25" customHeight="1" x14ac:dyDescent="0.3">
      <c r="A68" s="19"/>
      <c r="B68" s="19"/>
      <c r="C68" s="19"/>
      <c r="D68" s="19"/>
      <c r="E68" s="19"/>
      <c r="F68" s="19"/>
      <c r="G68" s="19"/>
      <c r="L68" s="19"/>
      <c r="M68" s="19"/>
      <c r="N68" s="19"/>
      <c r="O68" s="19"/>
      <c r="P68" s="19"/>
      <c r="Q68" s="19"/>
      <c r="R68" s="19"/>
    </row>
    <row r="69" spans="1:18" ht="14.25" customHeight="1" x14ac:dyDescent="0.3">
      <c r="A69" s="19"/>
      <c r="B69" s="19"/>
      <c r="C69" s="19"/>
      <c r="D69" s="19"/>
      <c r="E69" s="19"/>
      <c r="F69" s="19"/>
      <c r="L69" s="19"/>
      <c r="M69" s="19"/>
      <c r="N69" s="19"/>
      <c r="O69" s="19"/>
      <c r="P69" s="19"/>
      <c r="Q69" s="19"/>
      <c r="R69" s="19"/>
    </row>
    <row r="70" spans="1:18" ht="14.25" customHeight="1" x14ac:dyDescent="0.3">
      <c r="A70" s="19"/>
      <c r="B70" s="19"/>
      <c r="C70" s="19"/>
      <c r="D70" s="19"/>
      <c r="K70" s="19"/>
      <c r="L70" s="19"/>
      <c r="M70" s="19"/>
      <c r="N70" s="19"/>
      <c r="O70" s="19"/>
      <c r="P70" s="19"/>
      <c r="Q70" s="19"/>
      <c r="R70" s="19"/>
    </row>
    <row r="71" spans="1:18" ht="14.25" customHeight="1" x14ac:dyDescent="0.3">
      <c r="A71" s="19"/>
      <c r="B71" s="19"/>
      <c r="C71" s="19"/>
      <c r="D71" s="19"/>
      <c r="K71" s="19"/>
      <c r="L71" s="19"/>
      <c r="M71" s="19"/>
      <c r="N71" s="19"/>
      <c r="O71" s="19"/>
      <c r="P71" s="19"/>
      <c r="Q71" s="19"/>
      <c r="R71" s="19"/>
    </row>
    <row r="72" spans="1:18" ht="14.25" customHeight="1" x14ac:dyDescent="0.3">
      <c r="A72" s="19"/>
      <c r="B72" s="19"/>
      <c r="C72" s="19"/>
      <c r="D72" s="19"/>
      <c r="K72" s="19"/>
      <c r="L72" s="19"/>
      <c r="M72" s="19"/>
      <c r="N72" s="19"/>
      <c r="O72" s="19"/>
      <c r="P72" s="19"/>
      <c r="Q72" s="19"/>
      <c r="R72" s="19"/>
    </row>
    <row r="73" spans="1:18" ht="14.25" customHeight="1" x14ac:dyDescent="0.3">
      <c r="A73" s="19"/>
      <c r="B73" s="19"/>
      <c r="C73" s="19"/>
      <c r="D73" s="19"/>
      <c r="K73" s="19"/>
      <c r="L73" s="19"/>
      <c r="M73" s="19"/>
      <c r="N73" s="19"/>
      <c r="O73" s="19"/>
      <c r="P73" s="19"/>
      <c r="Q73" s="19"/>
      <c r="R73" s="19"/>
    </row>
    <row r="74" spans="1:18" ht="14.25" customHeight="1" x14ac:dyDescent="0.3">
      <c r="A74" s="19"/>
      <c r="B74" s="19"/>
      <c r="C74" s="19"/>
      <c r="D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 spans="1:18" ht="14.2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 spans="1:18" ht="14.2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</row>
    <row r="77" spans="1:18" ht="14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</row>
    <row r="78" spans="1:18" ht="14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</row>
    <row r="79" spans="1:18" ht="14.2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</row>
    <row r="80" spans="1:18" ht="14.2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  <row r="81" spans="1:18" ht="14.2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</row>
    <row r="82" spans="1:18" ht="14.2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</row>
    <row r="83" spans="1:18" ht="14.2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r="84" spans="1:18" ht="14.2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r="85" spans="1:18" ht="14.2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r="86" spans="1:18" ht="14.2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r="87" spans="1:18" ht="14.2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18" ht="14.2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r="89" spans="1:18" ht="14.2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M89" s="19"/>
      <c r="N89" s="19"/>
      <c r="O89" s="19"/>
      <c r="P89" s="19"/>
      <c r="Q89" s="19"/>
      <c r="R89" s="19"/>
    </row>
    <row r="90" spans="1:18" ht="14.25" customHeight="1" x14ac:dyDescent="0.3">
      <c r="A90" s="19"/>
      <c r="B90" s="19"/>
      <c r="C90" s="19"/>
      <c r="D90" s="19"/>
      <c r="E90" s="19"/>
      <c r="F90" s="19"/>
      <c r="Q90" s="19"/>
      <c r="R90" s="19"/>
    </row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97">
    <mergeCell ref="L21:P21"/>
    <mergeCell ref="L22:P22"/>
    <mergeCell ref="Q22:R22"/>
    <mergeCell ref="M16:P16"/>
    <mergeCell ref="M17:P17"/>
    <mergeCell ref="L19:P19"/>
    <mergeCell ref="Q19:R19"/>
    <mergeCell ref="L20:P20"/>
    <mergeCell ref="Q20:R20"/>
    <mergeCell ref="Q21:R21"/>
    <mergeCell ref="A1:R1"/>
    <mergeCell ref="A2:R2"/>
    <mergeCell ref="A3:R3"/>
    <mergeCell ref="A4:R4"/>
    <mergeCell ref="H5:R5"/>
    <mergeCell ref="H6:R6"/>
    <mergeCell ref="H7:R7"/>
    <mergeCell ref="G14:J14"/>
    <mergeCell ref="G15:J15"/>
    <mergeCell ref="M14:P14"/>
    <mergeCell ref="M15:P15"/>
    <mergeCell ref="L8:R8"/>
    <mergeCell ref="M9:R9"/>
    <mergeCell ref="M10:R10"/>
    <mergeCell ref="A12:R12"/>
    <mergeCell ref="M13:P13"/>
    <mergeCell ref="Q13:R13"/>
    <mergeCell ref="Q14:R18"/>
    <mergeCell ref="M18:P18"/>
    <mergeCell ref="C13:F19"/>
    <mergeCell ref="G16:J16"/>
    <mergeCell ref="G17:J17"/>
    <mergeCell ref="G19:K19"/>
    <mergeCell ref="A5:G7"/>
    <mergeCell ref="L30:P30"/>
    <mergeCell ref="Q30:R30"/>
    <mergeCell ref="L23:P23"/>
    <mergeCell ref="Q23:R23"/>
    <mergeCell ref="L24:P24"/>
    <mergeCell ref="Q24:R24"/>
    <mergeCell ref="L25:P25"/>
    <mergeCell ref="Q25:R25"/>
    <mergeCell ref="Q26:R26"/>
    <mergeCell ref="L26:P26"/>
    <mergeCell ref="L27:P27"/>
    <mergeCell ref="Q27:R27"/>
    <mergeCell ref="L28:P28"/>
    <mergeCell ref="Q28:R28"/>
    <mergeCell ref="L29:P29"/>
    <mergeCell ref="Q29:R29"/>
    <mergeCell ref="L31:P31"/>
    <mergeCell ref="Q31:R31"/>
    <mergeCell ref="L32:P32"/>
    <mergeCell ref="Q32:R32"/>
    <mergeCell ref="L33:P33"/>
    <mergeCell ref="Q33:R33"/>
    <mergeCell ref="Q34:R34"/>
    <mergeCell ref="G38:P38"/>
    <mergeCell ref="Q38:R38"/>
    <mergeCell ref="L34:P34"/>
    <mergeCell ref="L35:P35"/>
    <mergeCell ref="Q35:R35"/>
    <mergeCell ref="L36:P36"/>
    <mergeCell ref="Q36:R36"/>
    <mergeCell ref="L37:P37"/>
    <mergeCell ref="Q37:R37"/>
    <mergeCell ref="G31:K31"/>
    <mergeCell ref="G32:K32"/>
    <mergeCell ref="O43:P43"/>
    <mergeCell ref="Q43:R43"/>
    <mergeCell ref="M41:N41"/>
    <mergeCell ref="O41:P41"/>
    <mergeCell ref="Q41:R41"/>
    <mergeCell ref="M42:N42"/>
    <mergeCell ref="O42:P42"/>
    <mergeCell ref="Q42:R42"/>
    <mergeCell ref="M43:N43"/>
    <mergeCell ref="G49:H49"/>
    <mergeCell ref="I49:J49"/>
    <mergeCell ref="A47:F47"/>
    <mergeCell ref="G47:H47"/>
    <mergeCell ref="I47:J47"/>
    <mergeCell ref="A48:F48"/>
    <mergeCell ref="G48:H48"/>
    <mergeCell ref="I48:J48"/>
    <mergeCell ref="A49:F49"/>
    <mergeCell ref="G52:H52"/>
    <mergeCell ref="I52:J52"/>
    <mergeCell ref="A50:F50"/>
    <mergeCell ref="G50:H50"/>
    <mergeCell ref="I50:J50"/>
    <mergeCell ref="A51:F51"/>
    <mergeCell ref="G51:H51"/>
    <mergeCell ref="I51:J51"/>
    <mergeCell ref="A52:F52"/>
    <mergeCell ref="G55:H55"/>
    <mergeCell ref="I55:J55"/>
    <mergeCell ref="A56:F56"/>
    <mergeCell ref="G56:H56"/>
    <mergeCell ref="I56:J56"/>
    <mergeCell ref="A58:H58"/>
    <mergeCell ref="A61:H61"/>
    <mergeCell ref="A62:H62"/>
    <mergeCell ref="A53:F53"/>
    <mergeCell ref="G53:H53"/>
    <mergeCell ref="I53:J53"/>
    <mergeCell ref="A54:F54"/>
    <mergeCell ref="G54:H54"/>
    <mergeCell ref="I54:J54"/>
    <mergeCell ref="A55:F55"/>
    <mergeCell ref="A8:J8"/>
    <mergeCell ref="A9:J9"/>
    <mergeCell ref="A10:J10"/>
    <mergeCell ref="A13:B30"/>
    <mergeCell ref="G13:J13"/>
    <mergeCell ref="G18:J18"/>
    <mergeCell ref="G26:K26"/>
    <mergeCell ref="G27:K27"/>
    <mergeCell ref="G28:K28"/>
    <mergeCell ref="G29:K29"/>
    <mergeCell ref="G30:K30"/>
    <mergeCell ref="C26:F30"/>
    <mergeCell ref="C20:F25"/>
    <mergeCell ref="G24:K24"/>
    <mergeCell ref="G25:K25"/>
    <mergeCell ref="G20:K20"/>
    <mergeCell ref="G21:K21"/>
    <mergeCell ref="G22:K22"/>
    <mergeCell ref="G23:K23"/>
    <mergeCell ref="I42:J42"/>
    <mergeCell ref="G43:H43"/>
    <mergeCell ref="I43:J43"/>
    <mergeCell ref="G44:H44"/>
    <mergeCell ref="I44:J44"/>
    <mergeCell ref="G33:K33"/>
    <mergeCell ref="G34:K34"/>
    <mergeCell ref="G35:K35"/>
    <mergeCell ref="G36:K36"/>
    <mergeCell ref="G37:K37"/>
    <mergeCell ref="G41:H41"/>
    <mergeCell ref="I41:J41"/>
    <mergeCell ref="A31:F34"/>
    <mergeCell ref="A35:F38"/>
    <mergeCell ref="A40:F40"/>
    <mergeCell ref="A41:F41"/>
    <mergeCell ref="A42:F42"/>
    <mergeCell ref="A43:F43"/>
    <mergeCell ref="A44:F44"/>
    <mergeCell ref="A45:F45"/>
    <mergeCell ref="G45:H45"/>
    <mergeCell ref="G42:H42"/>
    <mergeCell ref="I45:J45"/>
    <mergeCell ref="A46:F46"/>
    <mergeCell ref="G46:H46"/>
    <mergeCell ref="I46:J46"/>
    <mergeCell ref="O55:P55"/>
    <mergeCell ref="Q55:R55"/>
    <mergeCell ref="L58:Q58"/>
    <mergeCell ref="L61:P61"/>
    <mergeCell ref="L62:P62"/>
    <mergeCell ref="M53:N53"/>
    <mergeCell ref="O53:P53"/>
    <mergeCell ref="Q53:R53"/>
    <mergeCell ref="M54:N54"/>
    <mergeCell ref="O54:P54"/>
    <mergeCell ref="Q54:R54"/>
    <mergeCell ref="M55:N55"/>
    <mergeCell ref="O46:P46"/>
    <mergeCell ref="Q46:R46"/>
    <mergeCell ref="O52:P52"/>
    <mergeCell ref="Q52:R52"/>
    <mergeCell ref="M50:N50"/>
    <mergeCell ref="O50:P50"/>
    <mergeCell ref="Q50:R50"/>
    <mergeCell ref="M51:N51"/>
    <mergeCell ref="O51:P51"/>
    <mergeCell ref="Q51:R51"/>
    <mergeCell ref="M52:N52"/>
    <mergeCell ref="M56:N56"/>
    <mergeCell ref="O56:P56"/>
    <mergeCell ref="Q56:R56"/>
    <mergeCell ref="M44:N44"/>
    <mergeCell ref="O44:P44"/>
    <mergeCell ref="Q44:R44"/>
    <mergeCell ref="M45:N45"/>
    <mergeCell ref="O45:P45"/>
    <mergeCell ref="Q45:R45"/>
    <mergeCell ref="M46:N46"/>
    <mergeCell ref="O49:P49"/>
    <mergeCell ref="Q49:R49"/>
    <mergeCell ref="M47:N47"/>
    <mergeCell ref="O47:P47"/>
    <mergeCell ref="Q47:R47"/>
    <mergeCell ref="M48:N48"/>
    <mergeCell ref="O48:P48"/>
    <mergeCell ref="Q48:R48"/>
    <mergeCell ref="M49:N49"/>
  </mergeCells>
  <conditionalFormatting sqref="K14:K18">
    <cfRule type="cellIs" dxfId="2" priority="1" operator="equal">
      <formula>0</formula>
    </cfRule>
  </conditionalFormatting>
  <conditionalFormatting sqref="M14:R18">
    <cfRule type="cellIs" dxfId="1" priority="2" operator="equal">
      <formula>0</formula>
    </cfRule>
  </conditionalFormatting>
  <conditionalFormatting sqref="Q38:R38">
    <cfRule type="cellIs" dxfId="0" priority="3" operator="equal">
      <formula>0</formula>
    </cfRule>
  </conditionalFormatting>
  <dataValidations count="2">
    <dataValidation type="list" allowBlank="1" sqref="G42:G56 I42:I56 K42:M56 O42:O56 Q42:Q56 Q57:R57" xr:uid="{00000000-0002-0000-0C00-000000000000}">
      <formula1>$S$14:$S$19</formula1>
    </dataValidation>
    <dataValidation type="list" allowBlank="1" showErrorMessage="1" sqref="G20:G24" xr:uid="{00000000-0002-0000-0C00-000001000000}">
      <formula1>$L$14:$L$18</formula1>
    </dataValidation>
  </dataValidations>
  <printOptions horizontalCentered="1"/>
  <pageMargins left="0.23622047244094491" right="0.23622047244094491" top="0.74803149606299213" bottom="0.74803149606299213" header="0" footer="0"/>
  <pageSetup scale="3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C00-000003000000}">
          <x14:formula1>
            <xm:f>z_2_Maestros!$B$2:$B$36</xm:f>
          </x14:formula1>
          <xm:sqref>A9</xm:sqref>
        </x14:dataValidation>
        <x14:dataValidation type="list" allowBlank="1" showErrorMessage="1" xr:uid="{00000000-0002-0000-0C00-000002000000}">
          <x14:formula1>
            <xm:f>z_3_Materias!$A$2:$A$51</xm:f>
          </x14:formula1>
          <xm:sqref>G14:G18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R1000"/>
  <sheetViews>
    <sheetView workbookViewId="0"/>
  </sheetViews>
  <sheetFormatPr baseColWidth="10" defaultColWidth="14.44140625" defaultRowHeight="15" customHeight="1" x14ac:dyDescent="0.3"/>
  <cols>
    <col min="1" max="1" width="2.77734375" customWidth="1"/>
    <col min="2" max="2" width="37.5546875" customWidth="1"/>
    <col min="3" max="3" width="5.44140625" customWidth="1"/>
    <col min="4" max="4" width="11.44140625" customWidth="1"/>
    <col min="5" max="5" width="2.77734375" customWidth="1"/>
    <col min="6" max="6" width="10.77734375" customWidth="1"/>
    <col min="7" max="18" width="17.5546875" customWidth="1"/>
    <col min="19" max="26" width="10.77734375" customWidth="1"/>
  </cols>
  <sheetData>
    <row r="1" spans="1:12" ht="14.25" customHeight="1" x14ac:dyDescent="0.3">
      <c r="A1" s="31" t="s">
        <v>109</v>
      </c>
      <c r="B1" s="31" t="s">
        <v>110</v>
      </c>
      <c r="C1" s="31" t="s">
        <v>111</v>
      </c>
      <c r="D1" s="31" t="s">
        <v>112</v>
      </c>
    </row>
    <row r="2" spans="1:12" ht="14.25" customHeight="1" x14ac:dyDescent="0.3">
      <c r="A2" s="31">
        <v>1</v>
      </c>
      <c r="B2" s="31" t="s">
        <v>4</v>
      </c>
      <c r="C2" s="31" t="s">
        <v>113</v>
      </c>
      <c r="D2" s="31" t="s">
        <v>114</v>
      </c>
    </row>
    <row r="3" spans="1:12" ht="14.25" customHeight="1" x14ac:dyDescent="0.3">
      <c r="A3" s="31">
        <v>2</v>
      </c>
      <c r="B3" s="31" t="s">
        <v>59</v>
      </c>
      <c r="C3" s="31" t="s">
        <v>113</v>
      </c>
      <c r="D3" s="31" t="s">
        <v>114</v>
      </c>
    </row>
    <row r="4" spans="1:12" ht="14.25" customHeight="1" x14ac:dyDescent="0.3">
      <c r="A4" s="31">
        <v>3</v>
      </c>
      <c r="B4" s="31" t="s">
        <v>62</v>
      </c>
      <c r="C4" s="31" t="s">
        <v>113</v>
      </c>
    </row>
    <row r="5" spans="1:12" ht="14.25" customHeight="1" x14ac:dyDescent="0.3">
      <c r="A5" s="31">
        <v>4</v>
      </c>
      <c r="B5" s="31" t="s">
        <v>68</v>
      </c>
      <c r="C5" s="31" t="s">
        <v>113</v>
      </c>
    </row>
    <row r="6" spans="1:12" ht="14.25" customHeight="1" x14ac:dyDescent="0.3">
      <c r="A6" s="31">
        <v>5</v>
      </c>
      <c r="B6" s="31" t="s">
        <v>74</v>
      </c>
      <c r="C6" s="31" t="s">
        <v>113</v>
      </c>
    </row>
    <row r="7" spans="1:12" ht="14.25" customHeight="1" x14ac:dyDescent="0.3">
      <c r="A7" s="31">
        <v>6</v>
      </c>
      <c r="B7" s="31" t="s">
        <v>78</v>
      </c>
      <c r="C7" s="31" t="s">
        <v>113</v>
      </c>
      <c r="D7" s="31" t="s">
        <v>114</v>
      </c>
    </row>
    <row r="8" spans="1:12" ht="14.25" customHeight="1" x14ac:dyDescent="0.3">
      <c r="A8" s="31">
        <v>7</v>
      </c>
      <c r="B8" s="31" t="s">
        <v>83</v>
      </c>
      <c r="C8" s="31" t="s">
        <v>113</v>
      </c>
      <c r="D8" s="31" t="s">
        <v>114</v>
      </c>
    </row>
    <row r="9" spans="1:12" ht="14.25" customHeight="1" x14ac:dyDescent="0.3">
      <c r="A9" s="31">
        <v>8</v>
      </c>
      <c r="B9" s="31" t="s">
        <v>86</v>
      </c>
      <c r="C9" s="31" t="s">
        <v>113</v>
      </c>
    </row>
    <row r="10" spans="1:12" ht="14.25" customHeight="1" x14ac:dyDescent="0.3">
      <c r="A10" s="31">
        <v>9</v>
      </c>
      <c r="B10" s="31" t="s">
        <v>89</v>
      </c>
      <c r="C10" s="31" t="s">
        <v>113</v>
      </c>
      <c r="D10" s="31" t="s">
        <v>114</v>
      </c>
    </row>
    <row r="11" spans="1:12" ht="14.25" customHeight="1" x14ac:dyDescent="0.3">
      <c r="A11" s="31">
        <v>10</v>
      </c>
      <c r="B11" s="31" t="s">
        <v>91</v>
      </c>
      <c r="C11" s="31" t="s">
        <v>113</v>
      </c>
    </row>
    <row r="12" spans="1:12" ht="14.25" customHeight="1" x14ac:dyDescent="0.3">
      <c r="A12" s="31">
        <v>11</v>
      </c>
      <c r="B12" s="31" t="s">
        <v>96</v>
      </c>
      <c r="C12" s="31" t="s">
        <v>113</v>
      </c>
    </row>
    <row r="13" spans="1:12" ht="14.25" customHeight="1" x14ac:dyDescent="0.3">
      <c r="A13" s="31">
        <v>12</v>
      </c>
      <c r="B13" s="31" t="s">
        <v>102</v>
      </c>
      <c r="C13" s="31" t="s">
        <v>113</v>
      </c>
    </row>
    <row r="14" spans="1:12" ht="14.25" customHeight="1" x14ac:dyDescent="0.3">
      <c r="A14" s="31">
        <v>13</v>
      </c>
      <c r="B14" s="31" t="s">
        <v>21</v>
      </c>
      <c r="L14" s="31" t="s">
        <v>106</v>
      </c>
    </row>
    <row r="15" spans="1:12" ht="14.25" customHeight="1" x14ac:dyDescent="0.3">
      <c r="L15" s="31" t="s">
        <v>107</v>
      </c>
    </row>
    <row r="16" spans="1:12" ht="14.25" customHeight="1" x14ac:dyDescent="0.3">
      <c r="L16" s="31" t="s">
        <v>108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spans="4:18" ht="14.25" customHeight="1" x14ac:dyDescent="0.3"/>
    <row r="34" spans="4:18" ht="14.25" customHeight="1" x14ac:dyDescent="0.3"/>
    <row r="35" spans="4:18" ht="14.25" customHeight="1" x14ac:dyDescent="0.3"/>
    <row r="36" spans="4:18" ht="14.25" customHeight="1" x14ac:dyDescent="0.3">
      <c r="D36" s="31" t="s">
        <v>21</v>
      </c>
    </row>
    <row r="37" spans="4:18" ht="14.25" customHeight="1" x14ac:dyDescent="0.3"/>
    <row r="38" spans="4:18" ht="14.25" customHeight="1" x14ac:dyDescent="0.3"/>
    <row r="39" spans="4:18" ht="14.25" customHeight="1" x14ac:dyDescent="0.3"/>
    <row r="40" spans="4:18" ht="14.25" customHeight="1" x14ac:dyDescent="0.3"/>
    <row r="41" spans="4:18" ht="14.25" customHeight="1" x14ac:dyDescent="0.3"/>
    <row r="42" spans="4:18" ht="54.75" customHeight="1" x14ac:dyDescent="0.3"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pans="4:18" ht="54.75" customHeight="1" x14ac:dyDescent="0.3"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4:18" ht="54.75" customHeight="1" x14ac:dyDescent="0.3"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4:18" ht="54.75" customHeight="1" x14ac:dyDescent="0.3"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pans="4:18" ht="54.75" customHeight="1" x14ac:dyDescent="0.3"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pans="4:18" ht="54.75" customHeight="1" x14ac:dyDescent="0.3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pans="4:18" ht="54.75" customHeight="1" x14ac:dyDescent="0.3"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7:18" ht="54.75" customHeight="1" x14ac:dyDescent="0.3"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7:18" ht="54.75" customHeight="1" x14ac:dyDescent="0.3"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</row>
    <row r="51" spans="7:18" ht="54.75" customHeight="1" x14ac:dyDescent="0.3"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spans="7:18" ht="54.75" customHeight="1" x14ac:dyDescent="0.3"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spans="7:18" ht="54.75" customHeight="1" x14ac:dyDescent="0.3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spans="7:18" ht="54.75" customHeight="1" x14ac:dyDescent="0.3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</row>
    <row r="55" spans="7:18" ht="54.75" customHeight="1" x14ac:dyDescent="0.3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7:18" ht="54.75" customHeight="1" x14ac:dyDescent="0.3"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</row>
    <row r="57" spans="7:18" ht="14.25" customHeight="1" x14ac:dyDescent="0.3"/>
    <row r="58" spans="7:18" ht="14.25" customHeight="1" x14ac:dyDescent="0.3"/>
    <row r="59" spans="7:18" ht="14.25" customHeight="1" x14ac:dyDescent="0.3"/>
    <row r="60" spans="7:18" ht="14.25" customHeight="1" x14ac:dyDescent="0.3"/>
    <row r="61" spans="7:18" ht="14.25" customHeight="1" x14ac:dyDescent="0.3"/>
    <row r="62" spans="7:18" ht="14.25" customHeight="1" x14ac:dyDescent="0.3"/>
    <row r="63" spans="7:18" ht="14.25" customHeight="1" x14ac:dyDescent="0.3"/>
    <row r="64" spans="7:1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R141"/>
  <sheetViews>
    <sheetView topLeftCell="A130" workbookViewId="0">
      <selection activeCell="A2" sqref="A2:E141"/>
    </sheetView>
  </sheetViews>
  <sheetFormatPr baseColWidth="10" defaultColWidth="14.44140625" defaultRowHeight="14.4" x14ac:dyDescent="0.3"/>
  <cols>
    <col min="1" max="1" width="55.109375" customWidth="1"/>
    <col min="2" max="2" width="14.5546875" customWidth="1"/>
    <col min="3" max="3" width="6.77734375" customWidth="1"/>
    <col min="4" max="4" width="5.5546875" customWidth="1"/>
    <col min="5" max="5" width="9.109375" customWidth="1"/>
    <col min="6" max="6" width="10.77734375" customWidth="1"/>
    <col min="7" max="18" width="17.5546875" customWidth="1"/>
    <col min="19" max="26" width="10.77734375" customWidth="1"/>
  </cols>
  <sheetData>
    <row r="1" spans="1:12" x14ac:dyDescent="0.3">
      <c r="A1" t="s">
        <v>115</v>
      </c>
      <c r="B1" t="s">
        <v>116</v>
      </c>
      <c r="C1" t="s">
        <v>117</v>
      </c>
      <c r="D1" t="s">
        <v>118</v>
      </c>
    </row>
    <row r="2" spans="1:12" x14ac:dyDescent="0.3">
      <c r="A2" s="32" t="s">
        <v>368</v>
      </c>
      <c r="B2" s="53" t="s">
        <v>120</v>
      </c>
      <c r="C2" s="53">
        <v>1</v>
      </c>
      <c r="D2" s="32">
        <v>4</v>
      </c>
      <c r="E2" s="53" t="s">
        <v>119</v>
      </c>
    </row>
    <row r="3" spans="1:12" x14ac:dyDescent="0.3">
      <c r="A3" s="32" t="s">
        <v>369</v>
      </c>
      <c r="B3" s="53" t="s">
        <v>121</v>
      </c>
      <c r="C3" s="53">
        <v>1</v>
      </c>
      <c r="D3" s="32">
        <v>7</v>
      </c>
      <c r="E3" s="53" t="s">
        <v>119</v>
      </c>
    </row>
    <row r="4" spans="1:12" x14ac:dyDescent="0.3">
      <c r="A4" s="32" t="s">
        <v>370</v>
      </c>
      <c r="B4" s="53" t="s">
        <v>123</v>
      </c>
      <c r="C4" s="53">
        <v>1</v>
      </c>
      <c r="D4" s="32">
        <v>6</v>
      </c>
      <c r="E4" s="53" t="s">
        <v>119</v>
      </c>
    </row>
    <row r="5" spans="1:12" x14ac:dyDescent="0.3">
      <c r="A5" s="32" t="s">
        <v>371</v>
      </c>
      <c r="B5" s="53" t="s">
        <v>124</v>
      </c>
      <c r="C5" s="53">
        <v>1</v>
      </c>
      <c r="D5" s="32">
        <v>4</v>
      </c>
      <c r="E5" s="53" t="s">
        <v>119</v>
      </c>
    </row>
    <row r="6" spans="1:12" x14ac:dyDescent="0.3">
      <c r="A6" s="32" t="s">
        <v>372</v>
      </c>
      <c r="B6" s="53" t="s">
        <v>125</v>
      </c>
      <c r="C6" s="53">
        <v>1</v>
      </c>
      <c r="D6" s="32">
        <v>4</v>
      </c>
      <c r="E6" s="53" t="s">
        <v>119</v>
      </c>
    </row>
    <row r="7" spans="1:12" x14ac:dyDescent="0.3">
      <c r="A7" s="32" t="s">
        <v>373</v>
      </c>
      <c r="B7" s="53" t="s">
        <v>126</v>
      </c>
      <c r="C7" s="53">
        <v>1</v>
      </c>
      <c r="D7" s="32">
        <v>5</v>
      </c>
      <c r="E7" s="53" t="s">
        <v>119</v>
      </c>
    </row>
    <row r="8" spans="1:12" x14ac:dyDescent="0.3">
      <c r="A8" s="53" t="s">
        <v>374</v>
      </c>
      <c r="B8" s="53" t="s">
        <v>127</v>
      </c>
      <c r="C8" s="53">
        <v>2</v>
      </c>
      <c r="D8" s="53">
        <v>4</v>
      </c>
      <c r="E8" s="53" t="s">
        <v>119</v>
      </c>
    </row>
    <row r="9" spans="1:12" x14ac:dyDescent="0.3">
      <c r="A9" s="53" t="s">
        <v>375</v>
      </c>
      <c r="B9" s="53" t="s">
        <v>128</v>
      </c>
      <c r="C9" s="53">
        <v>2</v>
      </c>
      <c r="D9" s="53">
        <v>6</v>
      </c>
      <c r="E9" s="53" t="s">
        <v>119</v>
      </c>
    </row>
    <row r="10" spans="1:12" x14ac:dyDescent="0.3">
      <c r="A10" s="53" t="s">
        <v>376</v>
      </c>
      <c r="B10" s="53" t="s">
        <v>129</v>
      </c>
      <c r="C10" s="53">
        <v>2</v>
      </c>
      <c r="D10" s="53">
        <v>6</v>
      </c>
      <c r="E10" s="53" t="s">
        <v>119</v>
      </c>
      <c r="L10" s="31" t="s">
        <v>106</v>
      </c>
    </row>
    <row r="11" spans="1:12" x14ac:dyDescent="0.3">
      <c r="A11" s="53" t="s">
        <v>377</v>
      </c>
      <c r="B11" s="53" t="s">
        <v>131</v>
      </c>
      <c r="C11" s="53">
        <v>2</v>
      </c>
      <c r="D11" s="53">
        <v>5</v>
      </c>
      <c r="E11" s="53" t="s">
        <v>119</v>
      </c>
      <c r="L11" s="31" t="s">
        <v>107</v>
      </c>
    </row>
    <row r="12" spans="1:12" x14ac:dyDescent="0.3">
      <c r="A12" s="53" t="s">
        <v>378</v>
      </c>
      <c r="B12" s="53" t="s">
        <v>132</v>
      </c>
      <c r="C12" s="53">
        <v>2</v>
      </c>
      <c r="D12" s="53">
        <v>5</v>
      </c>
      <c r="E12" s="53" t="s">
        <v>119</v>
      </c>
      <c r="L12" s="31" t="s">
        <v>108</v>
      </c>
    </row>
    <row r="13" spans="1:12" x14ac:dyDescent="0.3">
      <c r="A13" s="53" t="s">
        <v>379</v>
      </c>
      <c r="B13" s="53" t="s">
        <v>133</v>
      </c>
      <c r="C13" s="53">
        <v>2</v>
      </c>
      <c r="D13" s="53">
        <v>4</v>
      </c>
      <c r="E13" s="53" t="s">
        <v>119</v>
      </c>
    </row>
    <row r="14" spans="1:12" x14ac:dyDescent="0.3">
      <c r="A14" s="32" t="s">
        <v>380</v>
      </c>
      <c r="B14" s="53" t="s">
        <v>381</v>
      </c>
      <c r="C14" s="53">
        <v>3</v>
      </c>
      <c r="D14" s="53">
        <v>4</v>
      </c>
      <c r="E14" s="53" t="s">
        <v>119</v>
      </c>
    </row>
    <row r="15" spans="1:12" x14ac:dyDescent="0.3">
      <c r="A15" s="32" t="s">
        <v>382</v>
      </c>
      <c r="B15" s="53" t="s">
        <v>383</v>
      </c>
      <c r="C15" s="53">
        <v>3</v>
      </c>
      <c r="D15" s="53">
        <v>4</v>
      </c>
      <c r="E15" s="53" t="s">
        <v>119</v>
      </c>
    </row>
    <row r="16" spans="1:12" x14ac:dyDescent="0.3">
      <c r="A16" s="32" t="s">
        <v>384</v>
      </c>
      <c r="B16" s="53" t="s">
        <v>385</v>
      </c>
      <c r="C16" s="53">
        <v>3</v>
      </c>
      <c r="D16" s="53">
        <v>6</v>
      </c>
      <c r="E16" s="53" t="s">
        <v>119</v>
      </c>
    </row>
    <row r="17" spans="1:18" x14ac:dyDescent="0.3">
      <c r="A17" s="32" t="s">
        <v>386</v>
      </c>
      <c r="B17" s="53" t="s">
        <v>387</v>
      </c>
      <c r="C17" s="53">
        <v>3</v>
      </c>
      <c r="D17" s="53">
        <v>6</v>
      </c>
      <c r="E17" s="53" t="s">
        <v>119</v>
      </c>
    </row>
    <row r="18" spans="1:18" x14ac:dyDescent="0.3">
      <c r="A18" s="32" t="s">
        <v>388</v>
      </c>
      <c r="B18" s="53" t="s">
        <v>389</v>
      </c>
      <c r="C18" s="53">
        <v>3</v>
      </c>
      <c r="D18" s="53">
        <v>6</v>
      </c>
      <c r="E18" s="53" t="s">
        <v>119</v>
      </c>
    </row>
    <row r="19" spans="1:18" x14ac:dyDescent="0.3">
      <c r="A19" s="32" t="s">
        <v>390</v>
      </c>
      <c r="B19" s="53" t="s">
        <v>391</v>
      </c>
      <c r="C19" s="53">
        <v>3</v>
      </c>
      <c r="D19" s="53">
        <v>4</v>
      </c>
      <c r="E19" s="53" t="s">
        <v>119</v>
      </c>
    </row>
    <row r="20" spans="1:18" x14ac:dyDescent="0.3">
      <c r="A20" s="53" t="s">
        <v>392</v>
      </c>
      <c r="B20" s="53" t="s">
        <v>134</v>
      </c>
      <c r="C20" s="53">
        <v>1</v>
      </c>
      <c r="D20" s="53">
        <v>4</v>
      </c>
      <c r="E20" s="53" t="s">
        <v>119</v>
      </c>
    </row>
    <row r="21" spans="1:18" x14ac:dyDescent="0.3">
      <c r="A21" s="53" t="s">
        <v>393</v>
      </c>
      <c r="B21" s="53" t="s">
        <v>135</v>
      </c>
      <c r="C21" s="53">
        <v>1</v>
      </c>
      <c r="D21" s="53">
        <v>7</v>
      </c>
      <c r="E21" s="53" t="s">
        <v>119</v>
      </c>
    </row>
    <row r="22" spans="1:18" x14ac:dyDescent="0.3">
      <c r="A22" s="53" t="s">
        <v>394</v>
      </c>
      <c r="B22" s="53" t="s">
        <v>136</v>
      </c>
      <c r="C22" s="53">
        <v>1</v>
      </c>
      <c r="D22" s="53">
        <v>7</v>
      </c>
      <c r="E22" s="53" t="s">
        <v>119</v>
      </c>
    </row>
    <row r="23" spans="1:18" x14ac:dyDescent="0.3">
      <c r="A23" s="53" t="s">
        <v>395</v>
      </c>
      <c r="B23" s="53" t="s">
        <v>137</v>
      </c>
      <c r="C23" s="53">
        <v>1</v>
      </c>
      <c r="D23" s="53">
        <v>4</v>
      </c>
      <c r="E23" s="53" t="s">
        <v>119</v>
      </c>
    </row>
    <row r="24" spans="1:18" x14ac:dyDescent="0.3">
      <c r="A24" s="53" t="s">
        <v>396</v>
      </c>
      <c r="B24" s="53" t="s">
        <v>138</v>
      </c>
      <c r="C24" s="53">
        <v>1</v>
      </c>
      <c r="D24" s="53">
        <v>3</v>
      </c>
      <c r="E24" s="53" t="s">
        <v>119</v>
      </c>
    </row>
    <row r="25" spans="1:18" x14ac:dyDescent="0.3">
      <c r="A25" s="53" t="s">
        <v>397</v>
      </c>
      <c r="B25" s="53" t="s">
        <v>139</v>
      </c>
      <c r="C25" s="53">
        <v>1</v>
      </c>
      <c r="D25" s="53">
        <v>5</v>
      </c>
      <c r="E25" s="53" t="s">
        <v>119</v>
      </c>
    </row>
    <row r="26" spans="1:18" x14ac:dyDescent="0.3">
      <c r="A26" s="53" t="s">
        <v>398</v>
      </c>
      <c r="B26" s="53" t="s">
        <v>140</v>
      </c>
      <c r="C26" s="53">
        <v>2</v>
      </c>
      <c r="D26" s="53">
        <v>4</v>
      </c>
      <c r="E26" s="53" t="s">
        <v>119</v>
      </c>
    </row>
    <row r="27" spans="1:18" x14ac:dyDescent="0.3">
      <c r="A27" s="53" t="s">
        <v>399</v>
      </c>
      <c r="B27" s="53" t="s">
        <v>141</v>
      </c>
      <c r="C27" s="53">
        <v>2</v>
      </c>
      <c r="D27" s="53">
        <v>5</v>
      </c>
      <c r="E27" s="53" t="s">
        <v>119</v>
      </c>
    </row>
    <row r="28" spans="1:18" x14ac:dyDescent="0.3">
      <c r="A28" s="53" t="s">
        <v>400</v>
      </c>
      <c r="B28" s="53" t="s">
        <v>142</v>
      </c>
      <c r="C28" s="53">
        <v>2</v>
      </c>
      <c r="D28" s="53">
        <v>6</v>
      </c>
      <c r="E28" s="53" t="s">
        <v>119</v>
      </c>
    </row>
    <row r="29" spans="1:18" ht="17.399999999999999" x14ac:dyDescent="0.3">
      <c r="A29" s="53" t="s">
        <v>401</v>
      </c>
      <c r="B29" s="53" t="s">
        <v>143</v>
      </c>
      <c r="C29" s="53">
        <v>2</v>
      </c>
      <c r="D29" s="53">
        <v>5</v>
      </c>
      <c r="E29" s="53" t="s">
        <v>119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ht="17.399999999999999" x14ac:dyDescent="0.3">
      <c r="A30" s="53" t="s">
        <v>402</v>
      </c>
      <c r="B30" s="53" t="s">
        <v>144</v>
      </c>
      <c r="C30" s="53">
        <v>2</v>
      </c>
      <c r="D30" s="53">
        <v>7</v>
      </c>
      <c r="E30" s="53" t="s">
        <v>119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ht="17.399999999999999" x14ac:dyDescent="0.3">
      <c r="A31" s="53" t="s">
        <v>403</v>
      </c>
      <c r="B31" s="53" t="s">
        <v>145</v>
      </c>
      <c r="C31" s="53">
        <v>2</v>
      </c>
      <c r="D31" s="53">
        <v>3</v>
      </c>
      <c r="E31" s="53" t="s">
        <v>119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ht="17.399999999999999" x14ac:dyDescent="0.3">
      <c r="A32" s="53" t="s">
        <v>404</v>
      </c>
      <c r="B32" s="53" t="s">
        <v>405</v>
      </c>
      <c r="C32" s="53">
        <v>3</v>
      </c>
      <c r="D32" s="53">
        <v>4</v>
      </c>
      <c r="E32" s="53" t="s">
        <v>119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ht="17.399999999999999" x14ac:dyDescent="0.3">
      <c r="A33" s="53" t="s">
        <v>406</v>
      </c>
      <c r="B33" s="53" t="s">
        <v>407</v>
      </c>
      <c r="C33" s="53">
        <v>3</v>
      </c>
      <c r="D33" s="53">
        <v>6</v>
      </c>
      <c r="E33" s="53" t="s">
        <v>119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7.399999999999999" x14ac:dyDescent="0.3">
      <c r="A34" s="53" t="s">
        <v>408</v>
      </c>
      <c r="B34" s="53" t="s">
        <v>409</v>
      </c>
      <c r="C34" s="53">
        <v>3</v>
      </c>
      <c r="D34" s="53">
        <v>6</v>
      </c>
      <c r="E34" s="53" t="s">
        <v>119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ht="17.399999999999999" x14ac:dyDescent="0.3">
      <c r="A35" s="53" t="s">
        <v>410</v>
      </c>
      <c r="B35" s="53" t="s">
        <v>411</v>
      </c>
      <c r="C35" s="53">
        <v>3</v>
      </c>
      <c r="D35" s="53">
        <v>5</v>
      </c>
      <c r="E35" s="53" t="s">
        <v>119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ht="17.399999999999999" x14ac:dyDescent="0.3">
      <c r="A36" s="53" t="s">
        <v>412</v>
      </c>
      <c r="B36" s="53" t="s">
        <v>413</v>
      </c>
      <c r="C36" s="53">
        <v>3</v>
      </c>
      <c r="D36" s="53">
        <v>5</v>
      </c>
      <c r="E36" s="53" t="s">
        <v>119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7.399999999999999" x14ac:dyDescent="0.3">
      <c r="A37" s="53" t="s">
        <v>414</v>
      </c>
      <c r="B37" s="53" t="s">
        <v>415</v>
      </c>
      <c r="C37" s="53">
        <v>3</v>
      </c>
      <c r="D37" s="53">
        <v>4</v>
      </c>
      <c r="E37" s="53" t="s">
        <v>119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7.399999999999999" x14ac:dyDescent="0.3">
      <c r="A38" s="53" t="s">
        <v>147</v>
      </c>
      <c r="B38" s="53" t="s">
        <v>148</v>
      </c>
      <c r="C38" s="53">
        <v>3</v>
      </c>
      <c r="D38" s="53">
        <v>3</v>
      </c>
      <c r="E38" s="53" t="s">
        <v>146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1:18" x14ac:dyDescent="0.3">
      <c r="A39" s="53" t="s">
        <v>149</v>
      </c>
      <c r="B39" s="53" t="s">
        <v>150</v>
      </c>
      <c r="C39" s="53">
        <v>3</v>
      </c>
      <c r="D39" s="53">
        <v>3</v>
      </c>
      <c r="E39" s="53" t="s">
        <v>146</v>
      </c>
    </row>
    <row r="40" spans="1:18" x14ac:dyDescent="0.3">
      <c r="A40" s="53" t="s">
        <v>76</v>
      </c>
      <c r="B40" s="53" t="s">
        <v>151</v>
      </c>
      <c r="C40" s="53">
        <v>3</v>
      </c>
      <c r="D40" s="53">
        <v>5</v>
      </c>
      <c r="E40" s="53" t="s">
        <v>146</v>
      </c>
    </row>
    <row r="41" spans="1:18" x14ac:dyDescent="0.3">
      <c r="A41" s="53" t="s">
        <v>152</v>
      </c>
      <c r="B41" s="53" t="s">
        <v>153</v>
      </c>
      <c r="C41" s="53">
        <v>3</v>
      </c>
      <c r="D41" s="53">
        <v>7</v>
      </c>
      <c r="E41" s="53" t="s">
        <v>146</v>
      </c>
    </row>
    <row r="42" spans="1:18" x14ac:dyDescent="0.3">
      <c r="A42" s="53" t="s">
        <v>65</v>
      </c>
      <c r="B42" s="53" t="s">
        <v>154</v>
      </c>
      <c r="C42" s="53">
        <v>3</v>
      </c>
      <c r="D42" s="53">
        <v>4</v>
      </c>
      <c r="E42" s="53" t="s">
        <v>146</v>
      </c>
    </row>
    <row r="43" spans="1:18" x14ac:dyDescent="0.3">
      <c r="A43" s="53" t="s">
        <v>155</v>
      </c>
      <c r="B43" s="53" t="s">
        <v>156</v>
      </c>
      <c r="C43" s="53">
        <v>3</v>
      </c>
      <c r="D43" s="53">
        <v>6</v>
      </c>
      <c r="E43" s="53" t="s">
        <v>146</v>
      </c>
    </row>
    <row r="44" spans="1:18" x14ac:dyDescent="0.3">
      <c r="A44" s="53" t="s">
        <v>157</v>
      </c>
      <c r="B44" s="53" t="s">
        <v>158</v>
      </c>
      <c r="C44" s="53">
        <v>3</v>
      </c>
      <c r="D44" s="53">
        <v>2</v>
      </c>
      <c r="E44" s="53" t="s">
        <v>146</v>
      </c>
    </row>
    <row r="45" spans="1:18" x14ac:dyDescent="0.3">
      <c r="A45" s="53" t="s">
        <v>122</v>
      </c>
      <c r="B45" s="53" t="s">
        <v>159</v>
      </c>
      <c r="C45" s="53">
        <v>4</v>
      </c>
      <c r="D45" s="53">
        <v>4</v>
      </c>
      <c r="E45" s="53" t="s">
        <v>146</v>
      </c>
    </row>
    <row r="46" spans="1:18" x14ac:dyDescent="0.3">
      <c r="A46" s="53" t="s">
        <v>160</v>
      </c>
      <c r="B46" s="53" t="s">
        <v>161</v>
      </c>
      <c r="C46" s="53">
        <v>4</v>
      </c>
      <c r="D46" s="53">
        <v>5</v>
      </c>
      <c r="E46" s="53" t="s">
        <v>146</v>
      </c>
    </row>
    <row r="47" spans="1:18" x14ac:dyDescent="0.3">
      <c r="A47" s="53" t="s">
        <v>162</v>
      </c>
      <c r="B47" s="53" t="s">
        <v>163</v>
      </c>
      <c r="C47" s="53">
        <v>4</v>
      </c>
      <c r="D47" s="53">
        <v>4</v>
      </c>
      <c r="E47" s="53" t="s">
        <v>146</v>
      </c>
    </row>
    <row r="48" spans="1:18" x14ac:dyDescent="0.3">
      <c r="A48" s="53" t="s">
        <v>164</v>
      </c>
      <c r="B48" s="53" t="s">
        <v>165</v>
      </c>
      <c r="C48" s="53">
        <v>4</v>
      </c>
      <c r="D48" s="53">
        <v>5</v>
      </c>
      <c r="E48" s="53" t="s">
        <v>146</v>
      </c>
    </row>
    <row r="49" spans="1:5" x14ac:dyDescent="0.3">
      <c r="A49" s="53" t="s">
        <v>166</v>
      </c>
      <c r="B49" s="53" t="s">
        <v>167</v>
      </c>
      <c r="C49" s="53">
        <v>4</v>
      </c>
      <c r="D49" s="53">
        <v>2</v>
      </c>
      <c r="E49" s="53" t="s">
        <v>146</v>
      </c>
    </row>
    <row r="50" spans="1:5" x14ac:dyDescent="0.3">
      <c r="A50" s="53" t="s">
        <v>168</v>
      </c>
      <c r="B50" s="53" t="s">
        <v>169</v>
      </c>
      <c r="C50" s="53">
        <v>4</v>
      </c>
      <c r="D50" s="53">
        <v>4</v>
      </c>
      <c r="E50" s="53" t="s">
        <v>146</v>
      </c>
    </row>
    <row r="51" spans="1:5" x14ac:dyDescent="0.3">
      <c r="A51" s="53" t="s">
        <v>170</v>
      </c>
      <c r="B51" s="53" t="s">
        <v>171</v>
      </c>
      <c r="C51" s="53">
        <v>4</v>
      </c>
      <c r="D51" s="53">
        <v>5</v>
      </c>
      <c r="E51" s="53" t="s">
        <v>146</v>
      </c>
    </row>
    <row r="52" spans="1:5" x14ac:dyDescent="0.3">
      <c r="A52" s="53" t="s">
        <v>172</v>
      </c>
      <c r="B52" s="53" t="s">
        <v>173</v>
      </c>
      <c r="C52" s="53">
        <v>4</v>
      </c>
      <c r="D52" s="53">
        <v>3</v>
      </c>
      <c r="E52" s="53" t="s">
        <v>146</v>
      </c>
    </row>
    <row r="53" spans="1:5" x14ac:dyDescent="0.3">
      <c r="A53" s="53" t="s">
        <v>97</v>
      </c>
      <c r="B53" s="53" t="s">
        <v>174</v>
      </c>
      <c r="C53" s="53">
        <v>5</v>
      </c>
      <c r="D53" s="53">
        <v>8</v>
      </c>
      <c r="E53" s="53" t="s">
        <v>146</v>
      </c>
    </row>
    <row r="54" spans="1:5" x14ac:dyDescent="0.3">
      <c r="A54" s="53" t="s">
        <v>103</v>
      </c>
      <c r="B54" s="53" t="s">
        <v>175</v>
      </c>
      <c r="C54" s="53">
        <v>5</v>
      </c>
      <c r="D54" s="53">
        <v>7</v>
      </c>
      <c r="E54" s="53" t="s">
        <v>146</v>
      </c>
    </row>
    <row r="55" spans="1:5" x14ac:dyDescent="0.3">
      <c r="A55" s="53" t="s">
        <v>176</v>
      </c>
      <c r="B55" s="53" t="s">
        <v>177</v>
      </c>
      <c r="C55" s="53">
        <v>5</v>
      </c>
      <c r="D55" s="53">
        <v>8</v>
      </c>
      <c r="E55" s="53" t="s">
        <v>146</v>
      </c>
    </row>
    <row r="56" spans="1:5" x14ac:dyDescent="0.3">
      <c r="A56" s="53" t="s">
        <v>72</v>
      </c>
      <c r="B56" s="53" t="s">
        <v>178</v>
      </c>
      <c r="C56" s="53">
        <v>5</v>
      </c>
      <c r="D56" s="53">
        <v>2</v>
      </c>
      <c r="E56" s="53" t="s">
        <v>146</v>
      </c>
    </row>
    <row r="57" spans="1:5" x14ac:dyDescent="0.3">
      <c r="A57" s="53" t="s">
        <v>179</v>
      </c>
      <c r="B57" s="53" t="s">
        <v>180</v>
      </c>
      <c r="C57" s="53">
        <v>5</v>
      </c>
      <c r="D57" s="53">
        <v>4</v>
      </c>
      <c r="E57" s="53" t="s">
        <v>146</v>
      </c>
    </row>
    <row r="58" spans="1:5" x14ac:dyDescent="0.3">
      <c r="A58" s="53" t="s">
        <v>416</v>
      </c>
      <c r="B58" s="53" t="s">
        <v>181</v>
      </c>
      <c r="C58" s="53">
        <v>5</v>
      </c>
      <c r="D58" s="53">
        <v>5</v>
      </c>
      <c r="E58" s="53" t="s">
        <v>146</v>
      </c>
    </row>
    <row r="59" spans="1:5" x14ac:dyDescent="0.3">
      <c r="A59" s="53" t="s">
        <v>182</v>
      </c>
      <c r="B59" s="53" t="s">
        <v>183</v>
      </c>
      <c r="C59" s="53">
        <v>7</v>
      </c>
      <c r="D59" s="53">
        <v>3</v>
      </c>
      <c r="E59" s="53" t="s">
        <v>146</v>
      </c>
    </row>
    <row r="60" spans="1:5" x14ac:dyDescent="0.3">
      <c r="A60" s="53" t="s">
        <v>184</v>
      </c>
      <c r="B60" s="53" t="s">
        <v>185</v>
      </c>
      <c r="C60" s="53">
        <v>7</v>
      </c>
      <c r="D60" s="53">
        <v>4</v>
      </c>
      <c r="E60" s="53" t="s">
        <v>146</v>
      </c>
    </row>
    <row r="61" spans="1:5" x14ac:dyDescent="0.3">
      <c r="A61" s="53" t="s">
        <v>186</v>
      </c>
      <c r="B61" s="53" t="s">
        <v>187</v>
      </c>
      <c r="C61" s="53">
        <v>7</v>
      </c>
      <c r="D61" s="53">
        <v>3</v>
      </c>
      <c r="E61" s="53" t="s">
        <v>146</v>
      </c>
    </row>
    <row r="62" spans="1:5" x14ac:dyDescent="0.3">
      <c r="A62" s="33" t="s">
        <v>188</v>
      </c>
      <c r="B62" s="53" t="s">
        <v>189</v>
      </c>
      <c r="C62" s="53">
        <v>7</v>
      </c>
      <c r="D62" s="53">
        <v>4</v>
      </c>
      <c r="E62" s="53" t="s">
        <v>146</v>
      </c>
    </row>
    <row r="63" spans="1:5" x14ac:dyDescent="0.3">
      <c r="A63" s="33" t="s">
        <v>190</v>
      </c>
      <c r="B63" s="53" t="s">
        <v>191</v>
      </c>
      <c r="C63" s="53">
        <v>7</v>
      </c>
      <c r="D63" s="53">
        <v>4</v>
      </c>
      <c r="E63" s="53" t="s">
        <v>146</v>
      </c>
    </row>
    <row r="64" spans="1:5" x14ac:dyDescent="0.3">
      <c r="A64" s="33" t="s">
        <v>192</v>
      </c>
      <c r="B64" s="53" t="s">
        <v>193</v>
      </c>
      <c r="C64" s="53">
        <v>7</v>
      </c>
      <c r="D64" s="53">
        <v>3</v>
      </c>
      <c r="E64" s="53" t="s">
        <v>146</v>
      </c>
    </row>
    <row r="65" spans="1:5" x14ac:dyDescent="0.3">
      <c r="A65" s="33" t="s">
        <v>194</v>
      </c>
      <c r="B65" s="53" t="s">
        <v>195</v>
      </c>
      <c r="C65" s="53">
        <v>8</v>
      </c>
      <c r="D65" s="53">
        <v>6</v>
      </c>
      <c r="E65" s="53" t="s">
        <v>146</v>
      </c>
    </row>
    <row r="66" spans="1:5" x14ac:dyDescent="0.3">
      <c r="A66" s="33" t="s">
        <v>196</v>
      </c>
      <c r="B66" s="53" t="s">
        <v>197</v>
      </c>
      <c r="C66" s="53">
        <v>8</v>
      </c>
      <c r="D66" s="53">
        <v>4</v>
      </c>
      <c r="E66" s="53" t="s">
        <v>146</v>
      </c>
    </row>
    <row r="67" spans="1:5" x14ac:dyDescent="0.3">
      <c r="A67" s="33" t="s">
        <v>92</v>
      </c>
      <c r="B67" s="53" t="s">
        <v>198</v>
      </c>
      <c r="C67" s="53">
        <v>8</v>
      </c>
      <c r="D67" s="53">
        <v>7</v>
      </c>
      <c r="E67" s="53" t="s">
        <v>146</v>
      </c>
    </row>
    <row r="68" spans="1:5" x14ac:dyDescent="0.3">
      <c r="A68" s="53" t="s">
        <v>199</v>
      </c>
      <c r="B68" s="53" t="s">
        <v>200</v>
      </c>
      <c r="C68" s="53">
        <v>8</v>
      </c>
      <c r="D68" s="53">
        <v>3</v>
      </c>
      <c r="E68" s="53" t="s">
        <v>146</v>
      </c>
    </row>
    <row r="69" spans="1:5" x14ac:dyDescent="0.3">
      <c r="A69" s="53" t="s">
        <v>201</v>
      </c>
      <c r="B69" s="53" t="s">
        <v>202</v>
      </c>
      <c r="C69" s="53">
        <v>9</v>
      </c>
      <c r="D69" s="53">
        <v>6</v>
      </c>
      <c r="E69" s="53" t="s">
        <v>146</v>
      </c>
    </row>
    <row r="70" spans="1:5" x14ac:dyDescent="0.3">
      <c r="A70" s="53" t="s">
        <v>203</v>
      </c>
      <c r="B70" s="53" t="s">
        <v>204</v>
      </c>
      <c r="C70" s="53">
        <v>9</v>
      </c>
      <c r="D70" s="53">
        <v>4</v>
      </c>
      <c r="E70" s="53" t="s">
        <v>146</v>
      </c>
    </row>
    <row r="71" spans="1:5" x14ac:dyDescent="0.3">
      <c r="A71" s="53" t="s">
        <v>205</v>
      </c>
      <c r="B71" s="53" t="s">
        <v>206</v>
      </c>
      <c r="C71" s="53">
        <v>9</v>
      </c>
      <c r="D71" s="53">
        <v>3</v>
      </c>
      <c r="E71" s="53" t="s">
        <v>146</v>
      </c>
    </row>
    <row r="72" spans="1:5" x14ac:dyDescent="0.3">
      <c r="A72" s="53" t="s">
        <v>98</v>
      </c>
      <c r="B72" s="53" t="s">
        <v>207</v>
      </c>
      <c r="C72" s="53">
        <v>9</v>
      </c>
      <c r="D72" s="53">
        <v>6</v>
      </c>
      <c r="E72" s="53" t="s">
        <v>146</v>
      </c>
    </row>
    <row r="73" spans="1:5" x14ac:dyDescent="0.3">
      <c r="A73" s="53" t="s">
        <v>208</v>
      </c>
      <c r="B73" s="53" t="s">
        <v>209</v>
      </c>
      <c r="C73" s="53">
        <v>9</v>
      </c>
      <c r="D73" s="53">
        <v>4</v>
      </c>
      <c r="E73" s="53" t="s">
        <v>146</v>
      </c>
    </row>
    <row r="74" spans="1:5" x14ac:dyDescent="0.3">
      <c r="A74" s="53" t="s">
        <v>210</v>
      </c>
      <c r="B74" s="53" t="s">
        <v>211</v>
      </c>
      <c r="C74" s="53">
        <v>9</v>
      </c>
      <c r="D74" s="53">
        <v>2</v>
      </c>
      <c r="E74" s="53" t="s">
        <v>146</v>
      </c>
    </row>
    <row r="75" spans="1:5" x14ac:dyDescent="0.3">
      <c r="A75" s="53" t="s">
        <v>212</v>
      </c>
      <c r="B75" s="53" t="s">
        <v>213</v>
      </c>
      <c r="C75" s="53">
        <v>10</v>
      </c>
      <c r="D75" s="53">
        <v>4</v>
      </c>
      <c r="E75" s="53" t="s">
        <v>146</v>
      </c>
    </row>
    <row r="76" spans="1:5" x14ac:dyDescent="0.3">
      <c r="A76" s="53" t="s">
        <v>214</v>
      </c>
      <c r="B76" s="53" t="s">
        <v>215</v>
      </c>
      <c r="C76" s="53">
        <v>10</v>
      </c>
      <c r="D76" s="53">
        <v>7</v>
      </c>
      <c r="E76" s="53" t="s">
        <v>146</v>
      </c>
    </row>
    <row r="77" spans="1:5" x14ac:dyDescent="0.3">
      <c r="A77" s="53" t="s">
        <v>100</v>
      </c>
      <c r="B77" s="53" t="s">
        <v>216</v>
      </c>
      <c r="C77" s="53">
        <v>10</v>
      </c>
      <c r="D77" s="53">
        <v>7</v>
      </c>
      <c r="E77" s="53" t="s">
        <v>146</v>
      </c>
    </row>
    <row r="78" spans="1:5" x14ac:dyDescent="0.3">
      <c r="A78" s="53" t="s">
        <v>166</v>
      </c>
      <c r="B78" s="53" t="s">
        <v>217</v>
      </c>
      <c r="C78" s="53">
        <v>10</v>
      </c>
      <c r="D78" s="53">
        <v>2</v>
      </c>
      <c r="E78" s="53" t="s">
        <v>146</v>
      </c>
    </row>
    <row r="79" spans="1:5" x14ac:dyDescent="0.3">
      <c r="A79" s="53" t="s">
        <v>218</v>
      </c>
      <c r="B79" s="53" t="s">
        <v>219</v>
      </c>
      <c r="C79" s="53">
        <v>10</v>
      </c>
      <c r="D79" s="53">
        <v>2</v>
      </c>
      <c r="E79" s="53" t="s">
        <v>146</v>
      </c>
    </row>
    <row r="80" spans="1:5" x14ac:dyDescent="0.3">
      <c r="A80" s="53" t="s">
        <v>368</v>
      </c>
      <c r="B80" s="53" t="s">
        <v>220</v>
      </c>
      <c r="C80" s="53">
        <v>1</v>
      </c>
      <c r="D80" s="53">
        <v>4</v>
      </c>
      <c r="E80" s="53" t="s">
        <v>119</v>
      </c>
    </row>
    <row r="81" spans="1:5" x14ac:dyDescent="0.3">
      <c r="A81" s="53" t="s">
        <v>369</v>
      </c>
      <c r="B81" s="53" t="s">
        <v>221</v>
      </c>
      <c r="C81" s="53">
        <v>1</v>
      </c>
      <c r="D81" s="53">
        <v>7</v>
      </c>
      <c r="E81" s="53" t="s">
        <v>119</v>
      </c>
    </row>
    <row r="82" spans="1:5" x14ac:dyDescent="0.3">
      <c r="A82" s="53" t="s">
        <v>417</v>
      </c>
      <c r="B82" s="53" t="s">
        <v>222</v>
      </c>
      <c r="C82" s="53">
        <v>1</v>
      </c>
      <c r="D82" s="53">
        <v>4</v>
      </c>
      <c r="E82" s="53" t="s">
        <v>119</v>
      </c>
    </row>
    <row r="83" spans="1:5" x14ac:dyDescent="0.3">
      <c r="A83" s="53" t="s">
        <v>370</v>
      </c>
      <c r="B83" s="53" t="s">
        <v>223</v>
      </c>
      <c r="C83" s="53">
        <v>1</v>
      </c>
      <c r="D83" s="53">
        <v>6</v>
      </c>
      <c r="E83" s="53" t="s">
        <v>119</v>
      </c>
    </row>
    <row r="84" spans="1:5" x14ac:dyDescent="0.3">
      <c r="A84" s="53" t="s">
        <v>418</v>
      </c>
      <c r="B84" s="53" t="s">
        <v>224</v>
      </c>
      <c r="C84" s="53">
        <v>1</v>
      </c>
      <c r="D84" s="53">
        <v>4</v>
      </c>
      <c r="E84" s="53" t="s">
        <v>119</v>
      </c>
    </row>
    <row r="85" spans="1:5" x14ac:dyDescent="0.3">
      <c r="A85" s="53" t="s">
        <v>373</v>
      </c>
      <c r="B85" s="53" t="s">
        <v>225</v>
      </c>
      <c r="C85" s="53">
        <v>1</v>
      </c>
      <c r="D85" s="53">
        <v>5</v>
      </c>
      <c r="E85" s="53" t="s">
        <v>119</v>
      </c>
    </row>
    <row r="86" spans="1:5" x14ac:dyDescent="0.3">
      <c r="A86" s="53" t="s">
        <v>63</v>
      </c>
      <c r="B86" s="53" t="s">
        <v>226</v>
      </c>
      <c r="C86" s="53">
        <v>2</v>
      </c>
      <c r="D86" s="53">
        <v>4</v>
      </c>
      <c r="E86" s="53" t="s">
        <v>119</v>
      </c>
    </row>
    <row r="87" spans="1:5" x14ac:dyDescent="0.3">
      <c r="A87" s="53" t="s">
        <v>375</v>
      </c>
      <c r="B87" s="53" t="s">
        <v>227</v>
      </c>
      <c r="C87" s="53">
        <v>2</v>
      </c>
      <c r="D87" s="53">
        <v>6</v>
      </c>
      <c r="E87" s="53" t="s">
        <v>119</v>
      </c>
    </row>
    <row r="88" spans="1:5" x14ac:dyDescent="0.3">
      <c r="A88" s="53" t="s">
        <v>419</v>
      </c>
      <c r="B88" s="53" t="s">
        <v>228</v>
      </c>
      <c r="C88" s="53">
        <v>2</v>
      </c>
      <c r="D88" s="53">
        <v>5</v>
      </c>
      <c r="E88" s="53" t="s">
        <v>119</v>
      </c>
    </row>
    <row r="89" spans="1:5" x14ac:dyDescent="0.3">
      <c r="A89" s="53" t="s">
        <v>377</v>
      </c>
      <c r="B89" s="53" t="s">
        <v>229</v>
      </c>
      <c r="C89" s="53">
        <v>2</v>
      </c>
      <c r="D89" s="53">
        <v>5</v>
      </c>
      <c r="E89" s="53" t="s">
        <v>119</v>
      </c>
    </row>
    <row r="90" spans="1:5" x14ac:dyDescent="0.3">
      <c r="A90" s="53" t="s">
        <v>420</v>
      </c>
      <c r="B90" s="53" t="s">
        <v>230</v>
      </c>
      <c r="C90" s="53">
        <v>2</v>
      </c>
      <c r="D90" s="53">
        <v>5</v>
      </c>
      <c r="E90" s="53" t="s">
        <v>119</v>
      </c>
    </row>
    <row r="91" spans="1:5" x14ac:dyDescent="0.3">
      <c r="A91" s="53" t="s">
        <v>421</v>
      </c>
      <c r="B91" s="53" t="s">
        <v>231</v>
      </c>
      <c r="C91" s="53">
        <v>2</v>
      </c>
      <c r="D91" s="53">
        <v>5</v>
      </c>
      <c r="E91" s="53" t="s">
        <v>119</v>
      </c>
    </row>
    <row r="92" spans="1:5" x14ac:dyDescent="0.3">
      <c r="A92" s="53" t="s">
        <v>422</v>
      </c>
      <c r="B92" s="53" t="s">
        <v>423</v>
      </c>
      <c r="C92" s="53">
        <v>3</v>
      </c>
      <c r="D92" s="53">
        <v>4</v>
      </c>
      <c r="E92" s="53" t="s">
        <v>119</v>
      </c>
    </row>
    <row r="93" spans="1:5" x14ac:dyDescent="0.3">
      <c r="A93" s="53" t="s">
        <v>424</v>
      </c>
      <c r="B93" s="53" t="s">
        <v>425</v>
      </c>
      <c r="C93" s="53">
        <v>3</v>
      </c>
      <c r="D93" s="53">
        <v>4</v>
      </c>
      <c r="E93" s="53" t="s">
        <v>119</v>
      </c>
    </row>
    <row r="94" spans="1:5" x14ac:dyDescent="0.3">
      <c r="A94" s="53" t="s">
        <v>426</v>
      </c>
      <c r="B94" s="53" t="s">
        <v>427</v>
      </c>
      <c r="C94" s="53">
        <v>3</v>
      </c>
      <c r="D94" s="53">
        <v>6</v>
      </c>
      <c r="E94" s="53" t="s">
        <v>119</v>
      </c>
    </row>
    <row r="95" spans="1:5" x14ac:dyDescent="0.3">
      <c r="A95" s="53" t="s">
        <v>428</v>
      </c>
      <c r="B95" s="53" t="s">
        <v>429</v>
      </c>
      <c r="C95" s="53">
        <v>3</v>
      </c>
      <c r="D95" s="53">
        <v>5</v>
      </c>
      <c r="E95" s="53" t="s">
        <v>119</v>
      </c>
    </row>
    <row r="96" spans="1:5" x14ac:dyDescent="0.3">
      <c r="A96" s="53" t="s">
        <v>430</v>
      </c>
      <c r="B96" s="53" t="s">
        <v>431</v>
      </c>
      <c r="C96" s="53">
        <v>3</v>
      </c>
      <c r="D96" s="53">
        <v>7</v>
      </c>
      <c r="E96" s="53" t="s">
        <v>119</v>
      </c>
    </row>
    <row r="97" spans="1:5" x14ac:dyDescent="0.3">
      <c r="A97" s="53" t="s">
        <v>432</v>
      </c>
      <c r="B97" s="53" t="s">
        <v>433</v>
      </c>
      <c r="C97" s="53">
        <v>3</v>
      </c>
      <c r="D97" s="53">
        <v>4</v>
      </c>
      <c r="E97" s="53" t="s">
        <v>119</v>
      </c>
    </row>
    <row r="98" spans="1:5" x14ac:dyDescent="0.3">
      <c r="A98" s="53" t="s">
        <v>16</v>
      </c>
      <c r="B98" s="53" t="s">
        <v>232</v>
      </c>
      <c r="C98" s="53">
        <v>3</v>
      </c>
      <c r="D98" s="53">
        <v>4</v>
      </c>
      <c r="E98" s="53" t="s">
        <v>146</v>
      </c>
    </row>
    <row r="99" spans="1:5" x14ac:dyDescent="0.3">
      <c r="A99" s="53" t="s">
        <v>233</v>
      </c>
      <c r="B99" s="53" t="s">
        <v>234</v>
      </c>
      <c r="C99" s="53">
        <v>3</v>
      </c>
      <c r="D99" s="53">
        <v>6</v>
      </c>
      <c r="E99" s="53" t="s">
        <v>146</v>
      </c>
    </row>
    <row r="100" spans="1:5" x14ac:dyDescent="0.3">
      <c r="A100" s="53" t="s">
        <v>235</v>
      </c>
      <c r="B100" s="53" t="s">
        <v>236</v>
      </c>
      <c r="C100" s="53">
        <v>3</v>
      </c>
      <c r="D100" s="53">
        <v>6</v>
      </c>
      <c r="E100" s="53" t="s">
        <v>146</v>
      </c>
    </row>
    <row r="101" spans="1:5" x14ac:dyDescent="0.3">
      <c r="A101" s="53" t="s">
        <v>84</v>
      </c>
      <c r="B101" s="53" t="s">
        <v>237</v>
      </c>
      <c r="C101" s="53">
        <v>3</v>
      </c>
      <c r="D101" s="53">
        <v>5</v>
      </c>
      <c r="E101" s="53" t="s">
        <v>146</v>
      </c>
    </row>
    <row r="102" spans="1:5" x14ac:dyDescent="0.3">
      <c r="A102" s="53" t="s">
        <v>238</v>
      </c>
      <c r="B102" s="53" t="s">
        <v>239</v>
      </c>
      <c r="C102" s="53">
        <v>3</v>
      </c>
      <c r="D102" s="53">
        <v>6</v>
      </c>
      <c r="E102" s="53" t="s">
        <v>146</v>
      </c>
    </row>
    <row r="103" spans="1:5" x14ac:dyDescent="0.3">
      <c r="A103" s="53" t="s">
        <v>166</v>
      </c>
      <c r="B103" s="53" t="s">
        <v>240</v>
      </c>
      <c r="C103" s="53">
        <v>3</v>
      </c>
      <c r="D103" s="53">
        <v>2</v>
      </c>
      <c r="E103" s="53" t="s">
        <v>146</v>
      </c>
    </row>
    <row r="104" spans="1:5" x14ac:dyDescent="0.3">
      <c r="A104" s="53" t="s">
        <v>157</v>
      </c>
      <c r="B104" s="53" t="s">
        <v>241</v>
      </c>
      <c r="C104" s="53">
        <v>3</v>
      </c>
      <c r="D104" s="53">
        <v>2</v>
      </c>
      <c r="E104" s="53" t="s">
        <v>146</v>
      </c>
    </row>
    <row r="105" spans="1:5" x14ac:dyDescent="0.3">
      <c r="A105" s="53" t="s">
        <v>130</v>
      </c>
      <c r="B105" s="53" t="s">
        <v>242</v>
      </c>
      <c r="C105" s="53">
        <v>4</v>
      </c>
      <c r="D105" s="53">
        <v>5</v>
      </c>
      <c r="E105" s="53" t="s">
        <v>146</v>
      </c>
    </row>
    <row r="106" spans="1:5" x14ac:dyDescent="0.3">
      <c r="A106" s="53" t="s">
        <v>243</v>
      </c>
      <c r="B106" s="53" t="s">
        <v>244</v>
      </c>
      <c r="C106" s="53">
        <v>4</v>
      </c>
      <c r="D106" s="53">
        <v>6</v>
      </c>
      <c r="E106" s="53" t="s">
        <v>146</v>
      </c>
    </row>
    <row r="107" spans="1:5" x14ac:dyDescent="0.3">
      <c r="A107" s="53" t="s">
        <v>245</v>
      </c>
      <c r="B107" s="53" t="s">
        <v>246</v>
      </c>
      <c r="C107" s="53">
        <v>4</v>
      </c>
      <c r="D107" s="53">
        <v>6</v>
      </c>
      <c r="E107" s="53" t="s">
        <v>146</v>
      </c>
    </row>
    <row r="108" spans="1:5" x14ac:dyDescent="0.3">
      <c r="A108" s="53" t="s">
        <v>247</v>
      </c>
      <c r="B108" s="53" t="s">
        <v>248</v>
      </c>
      <c r="C108" s="53">
        <v>4</v>
      </c>
      <c r="D108" s="53">
        <v>6</v>
      </c>
      <c r="E108" s="53" t="s">
        <v>146</v>
      </c>
    </row>
    <row r="109" spans="1:5" x14ac:dyDescent="0.3">
      <c r="A109" s="53" t="s">
        <v>249</v>
      </c>
      <c r="B109" s="53" t="s">
        <v>250</v>
      </c>
      <c r="C109" s="53">
        <v>4</v>
      </c>
      <c r="D109" s="53">
        <v>5</v>
      </c>
      <c r="E109" s="53" t="s">
        <v>146</v>
      </c>
    </row>
    <row r="110" spans="1:5" x14ac:dyDescent="0.3">
      <c r="A110" s="53" t="s">
        <v>172</v>
      </c>
      <c r="B110" s="53" t="s">
        <v>251</v>
      </c>
      <c r="C110" s="53">
        <v>4</v>
      </c>
      <c r="D110" s="53">
        <v>3</v>
      </c>
      <c r="E110" s="53" t="s">
        <v>146</v>
      </c>
    </row>
    <row r="111" spans="1:5" x14ac:dyDescent="0.3">
      <c r="A111" s="53" t="s">
        <v>252</v>
      </c>
      <c r="B111" s="53" t="s">
        <v>253</v>
      </c>
      <c r="C111" s="53">
        <v>5</v>
      </c>
      <c r="D111" s="53">
        <v>6</v>
      </c>
      <c r="E111" s="53" t="s">
        <v>146</v>
      </c>
    </row>
    <row r="112" spans="1:5" x14ac:dyDescent="0.3">
      <c r="A112" s="53" t="s">
        <v>60</v>
      </c>
      <c r="B112" s="53" t="s">
        <v>254</v>
      </c>
      <c r="C112" s="53">
        <v>5</v>
      </c>
      <c r="D112" s="53">
        <v>6</v>
      </c>
      <c r="E112" s="53" t="s">
        <v>146</v>
      </c>
    </row>
    <row r="113" spans="1:5" x14ac:dyDescent="0.3">
      <c r="A113" s="53" t="s">
        <v>85</v>
      </c>
      <c r="B113" s="53" t="s">
        <v>255</v>
      </c>
      <c r="C113" s="53">
        <v>5</v>
      </c>
      <c r="D113" s="53">
        <v>6</v>
      </c>
      <c r="E113" s="53" t="s">
        <v>146</v>
      </c>
    </row>
    <row r="114" spans="1:5" x14ac:dyDescent="0.3">
      <c r="A114" s="53" t="s">
        <v>90</v>
      </c>
      <c r="B114" s="53" t="s">
        <v>256</v>
      </c>
      <c r="C114" s="53">
        <v>5</v>
      </c>
      <c r="D114" s="53">
        <v>6</v>
      </c>
      <c r="E114" s="53" t="s">
        <v>146</v>
      </c>
    </row>
    <row r="115" spans="1:5" x14ac:dyDescent="0.3">
      <c r="A115" s="53" t="s">
        <v>72</v>
      </c>
      <c r="B115" s="53" t="s">
        <v>257</v>
      </c>
      <c r="C115" s="53">
        <v>5</v>
      </c>
      <c r="D115" s="53">
        <v>2</v>
      </c>
      <c r="E115" s="53" t="s">
        <v>146</v>
      </c>
    </row>
    <row r="116" spans="1:5" x14ac:dyDescent="0.3">
      <c r="A116" s="53" t="s">
        <v>434</v>
      </c>
      <c r="B116" s="53" t="s">
        <v>258</v>
      </c>
      <c r="C116" s="53">
        <v>5</v>
      </c>
      <c r="D116" s="53">
        <v>5</v>
      </c>
      <c r="E116" s="53" t="s">
        <v>146</v>
      </c>
    </row>
    <row r="117" spans="1:5" x14ac:dyDescent="0.3">
      <c r="A117" s="53" t="s">
        <v>259</v>
      </c>
      <c r="B117" s="53" t="s">
        <v>260</v>
      </c>
      <c r="C117" s="53">
        <v>7</v>
      </c>
      <c r="D117" s="53">
        <v>4</v>
      </c>
      <c r="E117" s="53" t="s">
        <v>146</v>
      </c>
    </row>
    <row r="118" spans="1:5" x14ac:dyDescent="0.3">
      <c r="A118" s="53" t="s">
        <v>261</v>
      </c>
      <c r="B118" s="53" t="s">
        <v>262</v>
      </c>
      <c r="C118" s="53">
        <v>7</v>
      </c>
      <c r="D118" s="53">
        <v>5</v>
      </c>
      <c r="E118" s="53" t="s">
        <v>146</v>
      </c>
    </row>
    <row r="119" spans="1:5" x14ac:dyDescent="0.3">
      <c r="A119" s="53" t="s">
        <v>263</v>
      </c>
      <c r="B119" s="53" t="s">
        <v>264</v>
      </c>
      <c r="C119" s="53">
        <v>7</v>
      </c>
      <c r="D119" s="53">
        <v>5</v>
      </c>
      <c r="E119" s="53" t="s">
        <v>146</v>
      </c>
    </row>
    <row r="120" spans="1:5" x14ac:dyDescent="0.3">
      <c r="A120" s="53" t="s">
        <v>79</v>
      </c>
      <c r="B120" s="53" t="s">
        <v>265</v>
      </c>
      <c r="C120" s="53">
        <v>7</v>
      </c>
      <c r="D120" s="53">
        <v>4</v>
      </c>
      <c r="E120" s="53" t="s">
        <v>146</v>
      </c>
    </row>
    <row r="121" spans="1:5" x14ac:dyDescent="0.3">
      <c r="A121" s="53" t="s">
        <v>435</v>
      </c>
      <c r="B121" s="53" t="s">
        <v>266</v>
      </c>
      <c r="C121" s="53">
        <v>7</v>
      </c>
      <c r="D121" s="53">
        <v>3</v>
      </c>
      <c r="E121" s="53" t="s">
        <v>146</v>
      </c>
    </row>
    <row r="122" spans="1:5" x14ac:dyDescent="0.3">
      <c r="A122" s="53" t="s">
        <v>267</v>
      </c>
      <c r="B122" s="53" t="s">
        <v>268</v>
      </c>
      <c r="C122" s="53">
        <v>8</v>
      </c>
      <c r="D122" s="53">
        <v>4</v>
      </c>
      <c r="E122" s="53" t="s">
        <v>146</v>
      </c>
    </row>
    <row r="123" spans="1:5" x14ac:dyDescent="0.3">
      <c r="A123" s="53" t="s">
        <v>81</v>
      </c>
      <c r="B123" s="53" t="s">
        <v>269</v>
      </c>
      <c r="C123" s="53">
        <v>8</v>
      </c>
      <c r="D123" s="53">
        <v>5</v>
      </c>
      <c r="E123" s="53" t="s">
        <v>146</v>
      </c>
    </row>
    <row r="124" spans="1:5" x14ac:dyDescent="0.3">
      <c r="A124" s="53" t="s">
        <v>270</v>
      </c>
      <c r="B124" s="53" t="s">
        <v>271</v>
      </c>
      <c r="C124" s="53">
        <v>8</v>
      </c>
      <c r="D124" s="53">
        <v>5</v>
      </c>
      <c r="E124" s="53" t="s">
        <v>146</v>
      </c>
    </row>
    <row r="125" spans="1:5" x14ac:dyDescent="0.3">
      <c r="A125" s="53" t="s">
        <v>272</v>
      </c>
      <c r="B125" s="53" t="s">
        <v>273</v>
      </c>
      <c r="C125" s="53">
        <v>8</v>
      </c>
      <c r="D125" s="53">
        <v>4</v>
      </c>
      <c r="E125" s="53" t="s">
        <v>146</v>
      </c>
    </row>
    <row r="126" spans="1:5" x14ac:dyDescent="0.3">
      <c r="A126" s="53" t="s">
        <v>436</v>
      </c>
      <c r="B126" s="53" t="s">
        <v>274</v>
      </c>
      <c r="C126" s="53">
        <v>8</v>
      </c>
      <c r="D126" s="53">
        <v>3</v>
      </c>
      <c r="E126" s="53" t="s">
        <v>146</v>
      </c>
    </row>
    <row r="127" spans="1:5" x14ac:dyDescent="0.3">
      <c r="A127" s="53" t="s">
        <v>275</v>
      </c>
      <c r="B127" s="53" t="s">
        <v>276</v>
      </c>
      <c r="C127" s="53">
        <v>9</v>
      </c>
      <c r="D127" s="53">
        <v>5</v>
      </c>
      <c r="E127" s="53" t="s">
        <v>146</v>
      </c>
    </row>
    <row r="128" spans="1:5" x14ac:dyDescent="0.3">
      <c r="A128" s="53" t="s">
        <v>277</v>
      </c>
      <c r="B128" s="53" t="s">
        <v>278</v>
      </c>
      <c r="C128" s="53">
        <v>9</v>
      </c>
      <c r="D128" s="53">
        <v>4</v>
      </c>
      <c r="E128" s="53" t="s">
        <v>146</v>
      </c>
    </row>
    <row r="129" spans="1:5" x14ac:dyDescent="0.3">
      <c r="A129" s="53" t="s">
        <v>279</v>
      </c>
      <c r="B129" s="53" t="s">
        <v>280</v>
      </c>
      <c r="C129" s="53">
        <v>9</v>
      </c>
      <c r="D129" s="53">
        <v>4</v>
      </c>
      <c r="E129" s="53" t="s">
        <v>146</v>
      </c>
    </row>
    <row r="130" spans="1:5" x14ac:dyDescent="0.3">
      <c r="A130" s="53" t="s">
        <v>281</v>
      </c>
      <c r="B130" s="53" t="s">
        <v>282</v>
      </c>
      <c r="C130" s="53">
        <v>9</v>
      </c>
      <c r="D130" s="53">
        <v>3</v>
      </c>
      <c r="E130" s="53" t="s">
        <v>146</v>
      </c>
    </row>
    <row r="131" spans="1:5" x14ac:dyDescent="0.3">
      <c r="A131" s="53" t="s">
        <v>283</v>
      </c>
      <c r="B131" s="53" t="s">
        <v>284</v>
      </c>
      <c r="C131" s="53">
        <v>9</v>
      </c>
      <c r="D131" s="53">
        <v>3</v>
      </c>
      <c r="E131" s="53" t="s">
        <v>146</v>
      </c>
    </row>
    <row r="132" spans="1:5" x14ac:dyDescent="0.3">
      <c r="A132" s="53" t="s">
        <v>210</v>
      </c>
      <c r="B132" s="53" t="s">
        <v>285</v>
      </c>
      <c r="C132" s="53">
        <v>9</v>
      </c>
      <c r="D132" s="53">
        <v>2</v>
      </c>
      <c r="E132" s="53" t="s">
        <v>146</v>
      </c>
    </row>
    <row r="133" spans="1:5" x14ac:dyDescent="0.3">
      <c r="A133" s="53" t="s">
        <v>286</v>
      </c>
      <c r="B133" s="53" t="s">
        <v>287</v>
      </c>
      <c r="C133" s="53">
        <v>10</v>
      </c>
      <c r="D133" s="53">
        <v>5</v>
      </c>
      <c r="E133" s="53" t="s">
        <v>146</v>
      </c>
    </row>
    <row r="134" spans="1:5" x14ac:dyDescent="0.3">
      <c r="A134" s="53" t="s">
        <v>288</v>
      </c>
      <c r="B134" s="53" t="s">
        <v>289</v>
      </c>
      <c r="C134" s="53">
        <v>10</v>
      </c>
      <c r="D134" s="53">
        <v>5</v>
      </c>
      <c r="E134" s="53" t="s">
        <v>146</v>
      </c>
    </row>
    <row r="135" spans="1:5" x14ac:dyDescent="0.3">
      <c r="A135" s="53" t="s">
        <v>290</v>
      </c>
      <c r="B135" s="53" t="s">
        <v>291</v>
      </c>
      <c r="C135" s="53">
        <v>10</v>
      </c>
      <c r="D135" s="53">
        <v>7</v>
      </c>
      <c r="E135" s="53" t="s">
        <v>146</v>
      </c>
    </row>
    <row r="136" spans="1:5" x14ac:dyDescent="0.3">
      <c r="A136" s="53" t="s">
        <v>292</v>
      </c>
      <c r="B136" s="53" t="s">
        <v>293</v>
      </c>
      <c r="C136" s="53">
        <v>10</v>
      </c>
      <c r="D136" s="53">
        <v>2</v>
      </c>
      <c r="E136" s="53" t="s">
        <v>146</v>
      </c>
    </row>
    <row r="137" spans="1:5" x14ac:dyDescent="0.3">
      <c r="A137" s="53" t="s">
        <v>218</v>
      </c>
      <c r="B137" s="53" t="s">
        <v>294</v>
      </c>
      <c r="C137" s="53">
        <v>10</v>
      </c>
      <c r="D137" s="53">
        <v>2</v>
      </c>
      <c r="E137" s="53" t="s">
        <v>146</v>
      </c>
    </row>
    <row r="138" spans="1:5" x14ac:dyDescent="0.3">
      <c r="A138" t="s">
        <v>361</v>
      </c>
      <c r="B138" t="s">
        <v>363</v>
      </c>
      <c r="C138">
        <v>5</v>
      </c>
      <c r="D138">
        <v>4</v>
      </c>
    </row>
    <row r="139" spans="1:5" x14ac:dyDescent="0.3">
      <c r="A139" t="s">
        <v>362</v>
      </c>
      <c r="B139" t="s">
        <v>363</v>
      </c>
      <c r="C139">
        <v>5</v>
      </c>
      <c r="D139">
        <v>3</v>
      </c>
    </row>
    <row r="140" spans="1:5" x14ac:dyDescent="0.3">
      <c r="A140" t="s">
        <v>364</v>
      </c>
      <c r="B140" t="s">
        <v>363</v>
      </c>
      <c r="C140">
        <v>5</v>
      </c>
      <c r="D140">
        <v>7</v>
      </c>
    </row>
    <row r="141" spans="1:5" x14ac:dyDescent="0.3">
      <c r="A141" t="s">
        <v>21</v>
      </c>
      <c r="C141">
        <v>0</v>
      </c>
    </row>
  </sheetData>
  <pageMargins left="0.7" right="0.7" top="0.75" bottom="0.75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Z1000"/>
  <sheetViews>
    <sheetView workbookViewId="0"/>
  </sheetViews>
  <sheetFormatPr baseColWidth="10" defaultColWidth="14.44140625" defaultRowHeight="15" customHeight="1" x14ac:dyDescent="0.3"/>
  <cols>
    <col min="1" max="1" width="1.44140625" customWidth="1"/>
    <col min="2" max="2" width="6.109375" customWidth="1"/>
    <col min="3" max="6" width="18.44140625" customWidth="1"/>
    <col min="7" max="18" width="17.5546875" customWidth="1"/>
    <col min="19" max="26" width="18.44140625" customWidth="1"/>
  </cols>
  <sheetData>
    <row r="1" spans="1:26" ht="18.75" customHeight="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8.75" customHeight="1" x14ac:dyDescent="0.3">
      <c r="A2" s="34"/>
      <c r="B2" s="206"/>
      <c r="C2" s="105"/>
      <c r="D2" s="207" t="s">
        <v>295</v>
      </c>
      <c r="E2" s="35" t="s">
        <v>296</v>
      </c>
      <c r="F2" s="35" t="s">
        <v>297</v>
      </c>
      <c r="G2" s="36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8.75" customHeight="1" x14ac:dyDescent="0.3">
      <c r="A3" s="34"/>
      <c r="B3" s="96"/>
      <c r="C3" s="106"/>
      <c r="D3" s="173"/>
      <c r="E3" s="208" t="s">
        <v>298</v>
      </c>
      <c r="F3" s="61"/>
      <c r="G3" s="62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8.75" customHeight="1" x14ac:dyDescent="0.3">
      <c r="A4" s="34"/>
      <c r="B4" s="98"/>
      <c r="C4" s="107"/>
      <c r="D4" s="180"/>
      <c r="E4" s="208" t="s">
        <v>299</v>
      </c>
      <c r="F4" s="62"/>
      <c r="G4" s="37" t="s">
        <v>300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8.75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8.75" customHeight="1" x14ac:dyDescent="0.3">
      <c r="A6" s="34"/>
      <c r="B6" s="38" t="s">
        <v>301</v>
      </c>
      <c r="C6" s="209" t="s">
        <v>302</v>
      </c>
      <c r="D6" s="61"/>
      <c r="E6" s="61"/>
      <c r="F6" s="61"/>
      <c r="G6" s="6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39.75" customHeight="1" x14ac:dyDescent="0.3">
      <c r="A7" s="34"/>
      <c r="B7" s="39" t="s">
        <v>303</v>
      </c>
      <c r="C7" s="205" t="s">
        <v>304</v>
      </c>
      <c r="D7" s="73"/>
      <c r="E7" s="73"/>
      <c r="F7" s="73"/>
      <c r="G7" s="7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33" customHeight="1" x14ac:dyDescent="0.3">
      <c r="A8" s="34"/>
      <c r="B8" s="39" t="s">
        <v>305</v>
      </c>
      <c r="C8" s="199" t="s">
        <v>306</v>
      </c>
      <c r="D8" s="73"/>
      <c r="E8" s="73"/>
      <c r="F8" s="73"/>
      <c r="G8" s="7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33" customHeight="1" x14ac:dyDescent="0.3">
      <c r="A9" s="34"/>
      <c r="B9" s="39" t="s">
        <v>307</v>
      </c>
      <c r="C9" s="199" t="s">
        <v>308</v>
      </c>
      <c r="D9" s="73"/>
      <c r="E9" s="73"/>
      <c r="F9" s="73"/>
      <c r="G9" s="7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33" customHeight="1" x14ac:dyDescent="0.3">
      <c r="A10" s="34"/>
      <c r="B10" s="39" t="s">
        <v>309</v>
      </c>
      <c r="C10" s="199" t="s">
        <v>310</v>
      </c>
      <c r="D10" s="73"/>
      <c r="E10" s="73"/>
      <c r="F10" s="73"/>
      <c r="G10" s="7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39.75" customHeight="1" x14ac:dyDescent="0.3">
      <c r="A11" s="34"/>
      <c r="B11" s="39" t="s">
        <v>311</v>
      </c>
      <c r="C11" s="199" t="s">
        <v>312</v>
      </c>
      <c r="D11" s="73"/>
      <c r="E11" s="73"/>
      <c r="F11" s="73"/>
      <c r="G11" s="7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33" customHeight="1" x14ac:dyDescent="0.3">
      <c r="A12" s="34"/>
      <c r="B12" s="39" t="s">
        <v>313</v>
      </c>
      <c r="C12" s="199" t="s">
        <v>314</v>
      </c>
      <c r="D12" s="73"/>
      <c r="E12" s="73"/>
      <c r="F12" s="73"/>
      <c r="G12" s="7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33" customHeight="1" x14ac:dyDescent="0.3">
      <c r="A13" s="34"/>
      <c r="B13" s="39" t="s">
        <v>315</v>
      </c>
      <c r="C13" s="199" t="s">
        <v>316</v>
      </c>
      <c r="D13" s="73"/>
      <c r="E13" s="73"/>
      <c r="F13" s="73"/>
      <c r="G13" s="7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33" customHeight="1" x14ac:dyDescent="0.3">
      <c r="A14" s="34"/>
      <c r="B14" s="39" t="s">
        <v>317</v>
      </c>
      <c r="C14" s="199" t="s">
        <v>318</v>
      </c>
      <c r="D14" s="73"/>
      <c r="E14" s="73"/>
      <c r="F14" s="73"/>
      <c r="G14" s="74"/>
      <c r="H14" s="34"/>
      <c r="I14" s="34"/>
      <c r="J14" s="34"/>
      <c r="K14" s="34"/>
      <c r="L14" s="34" t="s">
        <v>106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33" customHeight="1" x14ac:dyDescent="0.3">
      <c r="A15" s="34"/>
      <c r="B15" s="39" t="s">
        <v>319</v>
      </c>
      <c r="C15" s="199" t="s">
        <v>320</v>
      </c>
      <c r="D15" s="73"/>
      <c r="E15" s="73"/>
      <c r="F15" s="73"/>
      <c r="G15" s="74"/>
      <c r="H15" s="34"/>
      <c r="I15" s="34"/>
      <c r="J15" s="34"/>
      <c r="K15" s="34"/>
      <c r="L15" s="34" t="s">
        <v>107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33" customHeight="1" x14ac:dyDescent="0.3">
      <c r="A16" s="34"/>
      <c r="B16" s="39" t="s">
        <v>321</v>
      </c>
      <c r="C16" s="199" t="s">
        <v>322</v>
      </c>
      <c r="D16" s="73"/>
      <c r="E16" s="73"/>
      <c r="F16" s="73"/>
      <c r="G16" s="74"/>
      <c r="H16" s="34"/>
      <c r="I16" s="34"/>
      <c r="J16" s="34"/>
      <c r="K16" s="34"/>
      <c r="L16" s="34" t="s">
        <v>108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33" customHeight="1" x14ac:dyDescent="0.3">
      <c r="A17" s="34"/>
      <c r="B17" s="39" t="s">
        <v>323</v>
      </c>
      <c r="C17" s="199" t="s">
        <v>324</v>
      </c>
      <c r="D17" s="73"/>
      <c r="E17" s="73"/>
      <c r="F17" s="73"/>
      <c r="G17" s="7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33" customHeight="1" x14ac:dyDescent="0.3">
      <c r="A18" s="34"/>
      <c r="B18" s="39" t="s">
        <v>325</v>
      </c>
      <c r="C18" s="199" t="s">
        <v>326</v>
      </c>
      <c r="D18" s="73"/>
      <c r="E18" s="73"/>
      <c r="F18" s="73"/>
      <c r="G18" s="7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33" customHeight="1" x14ac:dyDescent="0.3">
      <c r="A19" s="34"/>
      <c r="B19" s="39" t="s">
        <v>327</v>
      </c>
      <c r="C19" s="199" t="s">
        <v>328</v>
      </c>
      <c r="D19" s="73"/>
      <c r="E19" s="73"/>
      <c r="F19" s="73"/>
      <c r="G19" s="7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33" customHeight="1" x14ac:dyDescent="0.3">
      <c r="A20" s="34"/>
      <c r="B20" s="39" t="s">
        <v>329</v>
      </c>
      <c r="C20" s="199" t="s">
        <v>330</v>
      </c>
      <c r="D20" s="73"/>
      <c r="E20" s="73"/>
      <c r="F20" s="73"/>
      <c r="G20" s="7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33" customHeight="1" x14ac:dyDescent="0.3">
      <c r="A21" s="34"/>
      <c r="B21" s="39" t="s">
        <v>331</v>
      </c>
      <c r="C21" s="199" t="s">
        <v>332</v>
      </c>
      <c r="D21" s="73"/>
      <c r="E21" s="73"/>
      <c r="F21" s="73"/>
      <c r="G21" s="7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33" customHeight="1" x14ac:dyDescent="0.3">
      <c r="A22" s="34"/>
      <c r="B22" s="39" t="s">
        <v>333</v>
      </c>
      <c r="C22" s="199" t="s">
        <v>334</v>
      </c>
      <c r="D22" s="73"/>
      <c r="E22" s="73"/>
      <c r="F22" s="73"/>
      <c r="G22" s="7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92.75" customHeight="1" x14ac:dyDescent="0.3">
      <c r="A23" s="34"/>
      <c r="B23" s="39" t="s">
        <v>335</v>
      </c>
      <c r="C23" s="199" t="s">
        <v>336</v>
      </c>
      <c r="D23" s="73"/>
      <c r="E23" s="73"/>
      <c r="F23" s="73"/>
      <c r="G23" s="7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33" customHeight="1" x14ac:dyDescent="0.3">
      <c r="A24" s="34"/>
      <c r="B24" s="39" t="s">
        <v>337</v>
      </c>
      <c r="C24" s="203" t="s">
        <v>338</v>
      </c>
      <c r="D24" s="73"/>
      <c r="E24" s="73"/>
      <c r="F24" s="73"/>
      <c r="G24" s="7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33" customHeight="1" x14ac:dyDescent="0.3">
      <c r="A25" s="34"/>
      <c r="B25" s="39" t="s">
        <v>339</v>
      </c>
      <c r="C25" s="204" t="s">
        <v>340</v>
      </c>
      <c r="D25" s="73"/>
      <c r="E25" s="73"/>
      <c r="F25" s="73"/>
      <c r="G25" s="7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02.75" customHeight="1" x14ac:dyDescent="0.3">
      <c r="A26" s="34"/>
      <c r="B26" s="39" t="s">
        <v>341</v>
      </c>
      <c r="C26" s="203" t="s">
        <v>342</v>
      </c>
      <c r="D26" s="73"/>
      <c r="E26" s="73"/>
      <c r="F26" s="73"/>
      <c r="G26" s="7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33" customHeight="1" x14ac:dyDescent="0.3">
      <c r="A27" s="34"/>
      <c r="B27" s="39" t="s">
        <v>343</v>
      </c>
      <c r="C27" s="203" t="s">
        <v>344</v>
      </c>
      <c r="D27" s="73"/>
      <c r="E27" s="73"/>
      <c r="F27" s="73"/>
      <c r="G27" s="7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33" customHeight="1" x14ac:dyDescent="0.3">
      <c r="A28" s="34"/>
      <c r="B28" s="39" t="s">
        <v>345</v>
      </c>
      <c r="C28" s="203" t="s">
        <v>346</v>
      </c>
      <c r="D28" s="73"/>
      <c r="E28" s="73"/>
      <c r="F28" s="73"/>
      <c r="G28" s="7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33" customHeight="1" x14ac:dyDescent="0.3">
      <c r="A29" s="34"/>
      <c r="B29" s="39" t="s">
        <v>347</v>
      </c>
      <c r="C29" s="199" t="s">
        <v>348</v>
      </c>
      <c r="D29" s="73"/>
      <c r="E29" s="73"/>
      <c r="F29" s="73"/>
      <c r="G29" s="7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33" customHeight="1" x14ac:dyDescent="0.3">
      <c r="A30" s="34"/>
      <c r="B30" s="39" t="s">
        <v>349</v>
      </c>
      <c r="C30" s="199" t="s">
        <v>350</v>
      </c>
      <c r="D30" s="73"/>
      <c r="E30" s="73"/>
      <c r="F30" s="73"/>
      <c r="G30" s="7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33" customHeight="1" x14ac:dyDescent="0.3">
      <c r="A31" s="34"/>
      <c r="B31" s="39" t="s">
        <v>351</v>
      </c>
      <c r="C31" s="200" t="s">
        <v>352</v>
      </c>
      <c r="D31" s="201"/>
      <c r="E31" s="201"/>
      <c r="F31" s="201"/>
      <c r="G31" s="202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33" customHeight="1" x14ac:dyDescent="0.3">
      <c r="A32" s="34"/>
      <c r="B32" s="39" t="s">
        <v>353</v>
      </c>
      <c r="C32" s="203" t="s">
        <v>354</v>
      </c>
      <c r="D32" s="73"/>
      <c r="E32" s="73"/>
      <c r="F32" s="73"/>
      <c r="G32" s="89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7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02.75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.5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.5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.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.5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.5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54.75" customHeight="1" x14ac:dyDescent="0.3">
      <c r="A42" s="34"/>
      <c r="B42" s="34"/>
      <c r="C42" s="34"/>
      <c r="D42" s="34"/>
      <c r="E42" s="34"/>
      <c r="F42" s="34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34"/>
      <c r="T42" s="34"/>
      <c r="U42" s="34"/>
      <c r="V42" s="34"/>
      <c r="W42" s="34"/>
      <c r="X42" s="34"/>
      <c r="Y42" s="34"/>
      <c r="Z42" s="34"/>
    </row>
    <row r="43" spans="1:26" ht="54.75" customHeight="1" x14ac:dyDescent="0.3">
      <c r="A43" s="34"/>
      <c r="B43" s="34"/>
      <c r="C43" s="34"/>
      <c r="D43" s="34"/>
      <c r="E43" s="34"/>
      <c r="F43" s="34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34"/>
      <c r="T43" s="34"/>
      <c r="U43" s="34"/>
      <c r="V43" s="34"/>
      <c r="W43" s="34"/>
      <c r="X43" s="34"/>
      <c r="Y43" s="34"/>
      <c r="Z43" s="34"/>
    </row>
    <row r="44" spans="1:26" ht="54.75" customHeight="1" x14ac:dyDescent="0.3">
      <c r="A44" s="34"/>
      <c r="B44" s="34"/>
      <c r="C44" s="34"/>
      <c r="D44" s="34"/>
      <c r="E44" s="34"/>
      <c r="F44" s="34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34"/>
      <c r="T44" s="34"/>
      <c r="U44" s="34"/>
      <c r="V44" s="34"/>
      <c r="W44" s="34"/>
      <c r="X44" s="34"/>
      <c r="Y44" s="34"/>
      <c r="Z44" s="34"/>
    </row>
    <row r="45" spans="1:26" ht="54.75" customHeight="1" x14ac:dyDescent="0.3">
      <c r="A45" s="34"/>
      <c r="B45" s="34"/>
      <c r="C45" s="34"/>
      <c r="D45" s="34"/>
      <c r="E45" s="34"/>
      <c r="F45" s="34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34"/>
      <c r="T45" s="34"/>
      <c r="U45" s="34"/>
      <c r="V45" s="34"/>
      <c r="W45" s="34"/>
      <c r="X45" s="34"/>
      <c r="Y45" s="34"/>
      <c r="Z45" s="34"/>
    </row>
    <row r="46" spans="1:26" ht="54.75" customHeight="1" x14ac:dyDescent="0.3">
      <c r="A46" s="34"/>
      <c r="B46" s="34"/>
      <c r="C46" s="34"/>
      <c r="D46" s="34"/>
      <c r="E46" s="34"/>
      <c r="F46" s="34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34"/>
      <c r="T46" s="34"/>
      <c r="U46" s="34"/>
      <c r="V46" s="34"/>
      <c r="W46" s="34"/>
      <c r="X46" s="34"/>
      <c r="Y46" s="34"/>
      <c r="Z46" s="34"/>
    </row>
    <row r="47" spans="1:26" ht="54.75" customHeight="1" x14ac:dyDescent="0.3">
      <c r="A47" s="34"/>
      <c r="B47" s="34"/>
      <c r="C47" s="34"/>
      <c r="D47" s="34"/>
      <c r="E47" s="34"/>
      <c r="F47" s="34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34"/>
      <c r="T47" s="34"/>
      <c r="U47" s="34"/>
      <c r="V47" s="34"/>
      <c r="W47" s="34"/>
      <c r="X47" s="34"/>
      <c r="Y47" s="34"/>
      <c r="Z47" s="34"/>
    </row>
    <row r="48" spans="1:26" ht="54.75" customHeight="1" x14ac:dyDescent="0.3">
      <c r="A48" s="34"/>
      <c r="B48" s="34"/>
      <c r="C48" s="34"/>
      <c r="D48" s="34"/>
      <c r="E48" s="34"/>
      <c r="F48" s="34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34"/>
      <c r="T48" s="34"/>
      <c r="U48" s="34"/>
      <c r="V48" s="34"/>
      <c r="W48" s="34"/>
      <c r="X48" s="34"/>
      <c r="Y48" s="34"/>
      <c r="Z48" s="34"/>
    </row>
    <row r="49" spans="1:26" ht="54.75" customHeight="1" x14ac:dyDescent="0.3">
      <c r="A49" s="34"/>
      <c r="B49" s="34"/>
      <c r="C49" s="34"/>
      <c r="D49" s="34"/>
      <c r="E49" s="34"/>
      <c r="F49" s="34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34"/>
      <c r="T49" s="34"/>
      <c r="U49" s="34"/>
      <c r="V49" s="34"/>
      <c r="W49" s="34"/>
      <c r="X49" s="34"/>
      <c r="Y49" s="34"/>
      <c r="Z49" s="34"/>
    </row>
    <row r="50" spans="1:26" ht="54.75" customHeight="1" x14ac:dyDescent="0.3">
      <c r="A50" s="34"/>
      <c r="B50" s="34"/>
      <c r="C50" s="34"/>
      <c r="D50" s="34"/>
      <c r="E50" s="34"/>
      <c r="F50" s="34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34"/>
      <c r="T50" s="34"/>
      <c r="U50" s="34"/>
      <c r="V50" s="34"/>
      <c r="W50" s="34"/>
      <c r="X50" s="34"/>
      <c r="Y50" s="34"/>
      <c r="Z50" s="34"/>
    </row>
    <row r="51" spans="1:26" ht="54.75" customHeight="1" x14ac:dyDescent="0.3">
      <c r="A51" s="34"/>
      <c r="B51" s="34"/>
      <c r="C51" s="34"/>
      <c r="D51" s="34"/>
      <c r="E51" s="34"/>
      <c r="F51" s="34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34"/>
      <c r="T51" s="34"/>
      <c r="U51" s="34"/>
      <c r="V51" s="34"/>
      <c r="W51" s="34"/>
      <c r="X51" s="34"/>
      <c r="Y51" s="34"/>
      <c r="Z51" s="34"/>
    </row>
    <row r="52" spans="1:26" ht="54.75" customHeight="1" x14ac:dyDescent="0.3">
      <c r="A52" s="34"/>
      <c r="B52" s="34"/>
      <c r="C52" s="34"/>
      <c r="D52" s="34"/>
      <c r="E52" s="34"/>
      <c r="F52" s="34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34"/>
      <c r="T52" s="34"/>
      <c r="U52" s="34"/>
      <c r="V52" s="34"/>
      <c r="W52" s="34"/>
      <c r="X52" s="34"/>
      <c r="Y52" s="34"/>
      <c r="Z52" s="34"/>
    </row>
    <row r="53" spans="1:26" ht="54.75" customHeight="1" x14ac:dyDescent="0.3">
      <c r="A53" s="34"/>
      <c r="B53" s="34"/>
      <c r="C53" s="34"/>
      <c r="D53" s="34"/>
      <c r="E53" s="34"/>
      <c r="F53" s="34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34"/>
      <c r="T53" s="34"/>
      <c r="U53" s="34"/>
      <c r="V53" s="34"/>
      <c r="W53" s="34"/>
      <c r="X53" s="34"/>
      <c r="Y53" s="34"/>
      <c r="Z53" s="34"/>
    </row>
    <row r="54" spans="1:26" ht="54.75" customHeight="1" x14ac:dyDescent="0.3">
      <c r="A54" s="34"/>
      <c r="B54" s="34"/>
      <c r="C54" s="34"/>
      <c r="D54" s="34"/>
      <c r="E54" s="34"/>
      <c r="F54" s="34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34"/>
      <c r="T54" s="34"/>
      <c r="U54" s="34"/>
      <c r="V54" s="34"/>
      <c r="W54" s="34"/>
      <c r="X54" s="34"/>
      <c r="Y54" s="34"/>
      <c r="Z54" s="34"/>
    </row>
    <row r="55" spans="1:26" ht="54.75" customHeight="1" x14ac:dyDescent="0.3">
      <c r="A55" s="34"/>
      <c r="B55" s="34"/>
      <c r="C55" s="34"/>
      <c r="D55" s="34"/>
      <c r="E55" s="34"/>
      <c r="F55" s="34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34"/>
      <c r="T55" s="34"/>
      <c r="U55" s="34"/>
      <c r="V55" s="34"/>
      <c r="W55" s="34"/>
      <c r="X55" s="34"/>
      <c r="Y55" s="34"/>
      <c r="Z55" s="34"/>
    </row>
    <row r="56" spans="1:26" ht="54.75" customHeight="1" x14ac:dyDescent="0.3">
      <c r="A56" s="34"/>
      <c r="B56" s="34"/>
      <c r="C56" s="34"/>
      <c r="D56" s="34"/>
      <c r="E56" s="34"/>
      <c r="F56" s="34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34"/>
      <c r="T56" s="34"/>
      <c r="U56" s="34"/>
      <c r="V56" s="34"/>
      <c r="W56" s="34"/>
      <c r="X56" s="34"/>
      <c r="Y56" s="34"/>
      <c r="Z56" s="34"/>
    </row>
    <row r="57" spans="1:26" ht="12.75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 x14ac:dyDescent="0.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 x14ac:dyDescent="0.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 x14ac:dyDescent="0.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 customHeight="1" x14ac:dyDescent="0.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 customHeight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customHeight="1" x14ac:dyDescent="0.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customHeight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customHeight="1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customHeight="1" x14ac:dyDescent="0.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 customHeight="1" x14ac:dyDescent="0.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 customHeight="1" x14ac:dyDescent="0.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 customHeight="1" x14ac:dyDescent="0.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 customHeight="1" x14ac:dyDescent="0.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 customHeight="1" x14ac:dyDescent="0.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 customHeight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 customHeight="1" x14ac:dyDescent="0.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 customHeight="1" x14ac:dyDescent="0.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 customHeight="1" x14ac:dyDescent="0.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 customHeight="1" x14ac:dyDescent="0.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 customHeight="1" x14ac:dyDescent="0.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 customHeight="1" x14ac:dyDescent="0.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 customHeight="1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 customHeight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 customHeight="1" x14ac:dyDescent="0.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 customHeight="1" x14ac:dyDescent="0.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 customHeight="1" x14ac:dyDescent="0.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 customHeight="1" x14ac:dyDescent="0.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 customHeight="1" x14ac:dyDescent="0.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 customHeight="1" x14ac:dyDescent="0.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 customHeight="1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 customHeight="1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 customHeight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 customHeight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 customHeight="1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 customHeight="1" x14ac:dyDescent="0.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 customHeight="1" x14ac:dyDescent="0.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 customHeight="1" x14ac:dyDescent="0.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 customHeight="1" x14ac:dyDescent="0.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 customHeight="1" x14ac:dyDescent="0.3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 customHeight="1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 customHeight="1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 customHeight="1" x14ac:dyDescent="0.3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 customHeight="1" x14ac:dyDescent="0.3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 customHeight="1" x14ac:dyDescent="0.3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 customHeight="1" x14ac:dyDescent="0.3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 customHeight="1" x14ac:dyDescent="0.3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 customHeight="1" x14ac:dyDescent="0.3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 customHeight="1" x14ac:dyDescent="0.3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 customHeight="1" x14ac:dyDescent="0.3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 customHeight="1" x14ac:dyDescent="0.3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 customHeight="1" x14ac:dyDescent="0.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 customHeight="1" x14ac:dyDescent="0.3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 customHeight="1" x14ac:dyDescent="0.3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 customHeight="1" x14ac:dyDescent="0.3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 customHeight="1" x14ac:dyDescent="0.3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 customHeight="1" x14ac:dyDescent="0.3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 customHeight="1" x14ac:dyDescent="0.3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 customHeight="1" x14ac:dyDescent="0.3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 customHeight="1" x14ac:dyDescent="0.3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 customHeight="1" x14ac:dyDescent="0.3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 customHeight="1" x14ac:dyDescent="0.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 customHeight="1" x14ac:dyDescent="0.3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 customHeight="1" x14ac:dyDescent="0.3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 customHeight="1" x14ac:dyDescent="0.3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 customHeight="1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 customHeight="1" x14ac:dyDescent="0.3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 customHeight="1" x14ac:dyDescent="0.3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 customHeight="1" x14ac:dyDescent="0.3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 customHeight="1" x14ac:dyDescent="0.3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 customHeight="1" x14ac:dyDescent="0.3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 customHeight="1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 customHeight="1" x14ac:dyDescent="0.3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 customHeight="1" x14ac:dyDescent="0.3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 customHeight="1" x14ac:dyDescent="0.3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 customHeight="1" x14ac:dyDescent="0.3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 customHeight="1" x14ac:dyDescent="0.3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 customHeight="1" x14ac:dyDescent="0.3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 customHeight="1" x14ac:dyDescent="0.3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 customHeight="1" x14ac:dyDescent="0.3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 customHeight="1" x14ac:dyDescent="0.3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 customHeight="1" x14ac:dyDescent="0.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 customHeight="1" x14ac:dyDescent="0.3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 customHeight="1" x14ac:dyDescent="0.3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 customHeight="1" x14ac:dyDescent="0.3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 customHeight="1" x14ac:dyDescent="0.3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 customHeight="1" x14ac:dyDescent="0.3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 customHeight="1" x14ac:dyDescent="0.3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 customHeight="1" x14ac:dyDescent="0.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 customHeight="1" x14ac:dyDescent="0.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 customHeight="1" x14ac:dyDescent="0.3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 customHeight="1" x14ac:dyDescent="0.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 customHeight="1" x14ac:dyDescent="0.3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 customHeight="1" x14ac:dyDescent="0.3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 customHeight="1" x14ac:dyDescent="0.3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 customHeight="1" x14ac:dyDescent="0.3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 customHeight="1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 customHeight="1" x14ac:dyDescent="0.3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 customHeight="1" x14ac:dyDescent="0.3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 customHeight="1" x14ac:dyDescent="0.3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 customHeight="1" x14ac:dyDescent="0.3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 customHeight="1" x14ac:dyDescent="0.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 customHeight="1" x14ac:dyDescent="0.3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 customHeight="1" x14ac:dyDescent="0.3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 customHeight="1" x14ac:dyDescent="0.3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 customHeight="1" x14ac:dyDescent="0.3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 customHeight="1" x14ac:dyDescent="0.3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 customHeight="1" x14ac:dyDescent="0.3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 customHeight="1" x14ac:dyDescent="0.3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 customHeight="1" x14ac:dyDescent="0.3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 customHeight="1" x14ac:dyDescent="0.3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 customHeight="1" x14ac:dyDescent="0.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 customHeight="1" x14ac:dyDescent="0.3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 customHeight="1" x14ac:dyDescent="0.3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 customHeight="1" x14ac:dyDescent="0.3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 customHeight="1" x14ac:dyDescent="0.3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 customHeight="1" x14ac:dyDescent="0.3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 customHeight="1" x14ac:dyDescent="0.3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 customHeight="1" x14ac:dyDescent="0.3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 customHeight="1" x14ac:dyDescent="0.3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 customHeight="1" x14ac:dyDescent="0.3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 customHeight="1" x14ac:dyDescent="0.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 customHeight="1" x14ac:dyDescent="0.3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 customHeight="1" x14ac:dyDescent="0.3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 customHeight="1" x14ac:dyDescent="0.3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 customHeight="1" x14ac:dyDescent="0.3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 customHeight="1" x14ac:dyDescent="0.3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 customHeight="1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 customHeight="1" x14ac:dyDescent="0.3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 customHeight="1" x14ac:dyDescent="0.3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 customHeight="1" x14ac:dyDescent="0.3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 customHeight="1" x14ac:dyDescent="0.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 customHeight="1" x14ac:dyDescent="0.3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 customHeight="1" x14ac:dyDescent="0.3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 customHeight="1" x14ac:dyDescent="0.3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 customHeight="1" x14ac:dyDescent="0.3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 customHeight="1" x14ac:dyDescent="0.3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 customHeight="1" x14ac:dyDescent="0.3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 customHeight="1" x14ac:dyDescent="0.3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 customHeight="1" x14ac:dyDescent="0.3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 customHeight="1" x14ac:dyDescent="0.3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 customHeight="1" x14ac:dyDescent="0.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 customHeight="1" x14ac:dyDescent="0.3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 customHeight="1" x14ac:dyDescent="0.3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 customHeight="1" x14ac:dyDescent="0.3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 customHeight="1" x14ac:dyDescent="0.3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 customHeight="1" x14ac:dyDescent="0.3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 customHeight="1" x14ac:dyDescent="0.3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 customHeight="1" x14ac:dyDescent="0.3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 customHeight="1" x14ac:dyDescent="0.3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 customHeight="1" x14ac:dyDescent="0.3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 customHeight="1" x14ac:dyDescent="0.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 customHeight="1" x14ac:dyDescent="0.3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 customHeight="1" x14ac:dyDescent="0.3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 customHeight="1" x14ac:dyDescent="0.3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 customHeight="1" x14ac:dyDescent="0.3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 customHeight="1" x14ac:dyDescent="0.3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 customHeight="1" x14ac:dyDescent="0.3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 customHeight="1" x14ac:dyDescent="0.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 customHeight="1" x14ac:dyDescent="0.3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 customHeight="1" x14ac:dyDescent="0.3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 customHeight="1" x14ac:dyDescent="0.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 customHeight="1" x14ac:dyDescent="0.3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 customHeight="1" x14ac:dyDescent="0.3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 customHeight="1" x14ac:dyDescent="0.3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 customHeight="1" x14ac:dyDescent="0.3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 customHeight="1" x14ac:dyDescent="0.3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 customHeight="1" x14ac:dyDescent="0.3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 customHeight="1" x14ac:dyDescent="0.3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 customHeight="1" x14ac:dyDescent="0.3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75" customHeight="1" x14ac:dyDescent="0.3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75" customHeight="1" x14ac:dyDescent="0.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75" customHeight="1" x14ac:dyDescent="0.3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75" customHeight="1" x14ac:dyDescent="0.3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75" customHeight="1" x14ac:dyDescent="0.3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75" customHeight="1" x14ac:dyDescent="0.3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75" customHeight="1" x14ac:dyDescent="0.3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75" customHeight="1" x14ac:dyDescent="0.3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75" customHeight="1" x14ac:dyDescent="0.3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75" customHeight="1" x14ac:dyDescent="0.3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75" customHeight="1" x14ac:dyDescent="0.3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75" customHeight="1" x14ac:dyDescent="0.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75" customHeight="1" x14ac:dyDescent="0.3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75" customHeight="1" x14ac:dyDescent="0.3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75" customHeight="1" x14ac:dyDescent="0.3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75" customHeight="1" x14ac:dyDescent="0.3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75" customHeight="1" x14ac:dyDescent="0.3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75" customHeight="1" x14ac:dyDescent="0.3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75" customHeight="1" x14ac:dyDescent="0.3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.75" customHeight="1" x14ac:dyDescent="0.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.75" customHeight="1" x14ac:dyDescent="0.3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.75" customHeight="1" x14ac:dyDescent="0.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.75" customHeight="1" x14ac:dyDescent="0.3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.75" customHeight="1" x14ac:dyDescent="0.3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.75" customHeight="1" x14ac:dyDescent="0.3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.75" customHeight="1" x14ac:dyDescent="0.3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.75" customHeight="1" x14ac:dyDescent="0.3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.75" customHeight="1" x14ac:dyDescent="0.3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.75" customHeight="1" x14ac:dyDescent="0.3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.75" customHeight="1" x14ac:dyDescent="0.3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.75" customHeight="1" x14ac:dyDescent="0.3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.75" customHeight="1" x14ac:dyDescent="0.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.75" customHeight="1" x14ac:dyDescent="0.3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.75" customHeight="1" x14ac:dyDescent="0.3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.75" customHeight="1" x14ac:dyDescent="0.3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.75" customHeight="1" x14ac:dyDescent="0.3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.75" customHeight="1" x14ac:dyDescent="0.3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.75" customHeight="1" x14ac:dyDescent="0.3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.75" customHeight="1" x14ac:dyDescent="0.3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.75" customHeight="1" x14ac:dyDescent="0.3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.75" customHeight="1" x14ac:dyDescent="0.3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.75" customHeight="1" x14ac:dyDescent="0.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.75" customHeight="1" x14ac:dyDescent="0.3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.75" customHeight="1" x14ac:dyDescent="0.3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.75" customHeight="1" x14ac:dyDescent="0.3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.75" customHeight="1" x14ac:dyDescent="0.3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.75" customHeight="1" x14ac:dyDescent="0.3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.75" customHeight="1" x14ac:dyDescent="0.3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.75" customHeight="1" x14ac:dyDescent="0.3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.75" customHeight="1" x14ac:dyDescent="0.3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.75" customHeight="1" x14ac:dyDescent="0.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.75" customHeight="1" x14ac:dyDescent="0.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.75" customHeight="1" x14ac:dyDescent="0.3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.75" customHeight="1" x14ac:dyDescent="0.3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.75" customHeight="1" x14ac:dyDescent="0.3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.75" customHeight="1" x14ac:dyDescent="0.3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.75" customHeight="1" x14ac:dyDescent="0.3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.75" customHeight="1" x14ac:dyDescent="0.3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.75" customHeight="1" x14ac:dyDescent="0.3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.75" customHeight="1" x14ac:dyDescent="0.3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.75" customHeight="1" x14ac:dyDescent="0.3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.75" customHeight="1" x14ac:dyDescent="0.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.75" customHeight="1" x14ac:dyDescent="0.3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.75" customHeight="1" x14ac:dyDescent="0.3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.75" customHeight="1" x14ac:dyDescent="0.3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.75" customHeight="1" x14ac:dyDescent="0.3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.75" customHeight="1" x14ac:dyDescent="0.3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.75" customHeight="1" x14ac:dyDescent="0.3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.75" customHeight="1" x14ac:dyDescent="0.3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.75" customHeight="1" x14ac:dyDescent="0.3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.75" customHeight="1" x14ac:dyDescent="0.3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.75" customHeight="1" x14ac:dyDescent="0.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.75" customHeight="1" x14ac:dyDescent="0.3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75" customHeight="1" x14ac:dyDescent="0.3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75" customHeight="1" x14ac:dyDescent="0.3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75" customHeight="1" x14ac:dyDescent="0.3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75" customHeight="1" x14ac:dyDescent="0.3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75" customHeight="1" x14ac:dyDescent="0.3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75" customHeight="1" x14ac:dyDescent="0.3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75" customHeight="1" x14ac:dyDescent="0.3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75" customHeight="1" x14ac:dyDescent="0.3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75" customHeight="1" x14ac:dyDescent="0.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75" customHeight="1" x14ac:dyDescent="0.3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75" customHeight="1" x14ac:dyDescent="0.3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75" customHeight="1" x14ac:dyDescent="0.3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75" customHeight="1" x14ac:dyDescent="0.3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75" customHeight="1" x14ac:dyDescent="0.3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75" customHeight="1" x14ac:dyDescent="0.3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75" customHeight="1" x14ac:dyDescent="0.3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75" customHeight="1" x14ac:dyDescent="0.3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75" customHeight="1" x14ac:dyDescent="0.3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75" customHeight="1" x14ac:dyDescent="0.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75" customHeight="1" x14ac:dyDescent="0.3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75" customHeight="1" x14ac:dyDescent="0.3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75" customHeight="1" x14ac:dyDescent="0.3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75" customHeight="1" x14ac:dyDescent="0.3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75" customHeight="1" x14ac:dyDescent="0.3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75" customHeight="1" x14ac:dyDescent="0.3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75" customHeight="1" x14ac:dyDescent="0.3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75" customHeight="1" x14ac:dyDescent="0.3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75" customHeight="1" x14ac:dyDescent="0.3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75" customHeight="1" x14ac:dyDescent="0.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75" customHeight="1" x14ac:dyDescent="0.3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75" customHeight="1" x14ac:dyDescent="0.3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75" customHeight="1" x14ac:dyDescent="0.3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75" customHeight="1" x14ac:dyDescent="0.3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75" customHeight="1" x14ac:dyDescent="0.3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75" customHeight="1" x14ac:dyDescent="0.3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75" customHeight="1" x14ac:dyDescent="0.3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75" customHeight="1" x14ac:dyDescent="0.3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75" customHeight="1" x14ac:dyDescent="0.3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75" customHeight="1" x14ac:dyDescent="0.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75" customHeight="1" x14ac:dyDescent="0.3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75" customHeight="1" x14ac:dyDescent="0.3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75" customHeight="1" x14ac:dyDescent="0.3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75" customHeight="1" x14ac:dyDescent="0.3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75" customHeight="1" x14ac:dyDescent="0.3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75" customHeight="1" x14ac:dyDescent="0.3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75" customHeight="1" x14ac:dyDescent="0.3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75" customHeight="1" x14ac:dyDescent="0.3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75" customHeight="1" x14ac:dyDescent="0.3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75" customHeight="1" x14ac:dyDescent="0.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75" customHeight="1" x14ac:dyDescent="0.3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75" customHeight="1" x14ac:dyDescent="0.3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75" customHeight="1" x14ac:dyDescent="0.3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75" customHeight="1" x14ac:dyDescent="0.3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75" customHeight="1" x14ac:dyDescent="0.3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75" customHeight="1" x14ac:dyDescent="0.3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75" customHeight="1" x14ac:dyDescent="0.3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75" customHeight="1" x14ac:dyDescent="0.3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75" customHeight="1" x14ac:dyDescent="0.3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75" customHeight="1" x14ac:dyDescent="0.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75" customHeight="1" x14ac:dyDescent="0.3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75" customHeight="1" x14ac:dyDescent="0.3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75" customHeight="1" x14ac:dyDescent="0.3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75" customHeight="1" x14ac:dyDescent="0.3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75" customHeight="1" x14ac:dyDescent="0.3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75" customHeight="1" x14ac:dyDescent="0.3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75" customHeight="1" x14ac:dyDescent="0.3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75" customHeight="1" x14ac:dyDescent="0.3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75" customHeight="1" x14ac:dyDescent="0.3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75" customHeight="1" x14ac:dyDescent="0.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75" customHeight="1" x14ac:dyDescent="0.3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75" customHeight="1" x14ac:dyDescent="0.3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75" customHeight="1" x14ac:dyDescent="0.3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75" customHeight="1" x14ac:dyDescent="0.3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75" customHeight="1" x14ac:dyDescent="0.3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75" customHeight="1" x14ac:dyDescent="0.3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75" customHeight="1" x14ac:dyDescent="0.3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75" customHeight="1" x14ac:dyDescent="0.3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75" customHeight="1" x14ac:dyDescent="0.3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75" customHeight="1" x14ac:dyDescent="0.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75" customHeight="1" x14ac:dyDescent="0.3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75" customHeight="1" x14ac:dyDescent="0.3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75" customHeight="1" x14ac:dyDescent="0.3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75" customHeight="1" x14ac:dyDescent="0.3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75" customHeight="1" x14ac:dyDescent="0.3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75" customHeight="1" x14ac:dyDescent="0.3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75" customHeight="1" x14ac:dyDescent="0.3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75" customHeight="1" x14ac:dyDescent="0.3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75" customHeight="1" x14ac:dyDescent="0.3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75" customHeight="1" x14ac:dyDescent="0.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75" customHeight="1" x14ac:dyDescent="0.3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75" customHeight="1" x14ac:dyDescent="0.3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75" customHeight="1" x14ac:dyDescent="0.3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75" customHeight="1" x14ac:dyDescent="0.3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75" customHeight="1" x14ac:dyDescent="0.3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75" customHeight="1" x14ac:dyDescent="0.3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75" customHeight="1" x14ac:dyDescent="0.3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75" customHeight="1" x14ac:dyDescent="0.3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75" customHeight="1" x14ac:dyDescent="0.3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75" customHeight="1" x14ac:dyDescent="0.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75" customHeight="1" x14ac:dyDescent="0.3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75" customHeight="1" x14ac:dyDescent="0.3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75" customHeight="1" x14ac:dyDescent="0.3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75" customHeight="1" x14ac:dyDescent="0.3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75" customHeight="1" x14ac:dyDescent="0.3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75" customHeight="1" x14ac:dyDescent="0.3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75" customHeight="1" x14ac:dyDescent="0.3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75" customHeight="1" x14ac:dyDescent="0.3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75" customHeight="1" x14ac:dyDescent="0.3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75" customHeight="1" x14ac:dyDescent="0.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75" customHeight="1" x14ac:dyDescent="0.3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75" customHeight="1" x14ac:dyDescent="0.3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75" customHeight="1" x14ac:dyDescent="0.3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75" customHeight="1" x14ac:dyDescent="0.3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75" customHeight="1" x14ac:dyDescent="0.3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75" customHeight="1" x14ac:dyDescent="0.3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75" customHeight="1" x14ac:dyDescent="0.3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75" customHeight="1" x14ac:dyDescent="0.3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75" customHeight="1" x14ac:dyDescent="0.3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75" customHeight="1" x14ac:dyDescent="0.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75" customHeight="1" x14ac:dyDescent="0.3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75" customHeight="1" x14ac:dyDescent="0.3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75" customHeight="1" x14ac:dyDescent="0.3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75" customHeight="1" x14ac:dyDescent="0.3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75" customHeight="1" x14ac:dyDescent="0.3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75" customHeight="1" x14ac:dyDescent="0.3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75" customHeight="1" x14ac:dyDescent="0.3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75" customHeight="1" x14ac:dyDescent="0.3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75" customHeight="1" x14ac:dyDescent="0.3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75" customHeight="1" x14ac:dyDescent="0.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75" customHeight="1" x14ac:dyDescent="0.3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75" customHeight="1" x14ac:dyDescent="0.3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75" customHeight="1" x14ac:dyDescent="0.3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75" customHeight="1" x14ac:dyDescent="0.3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75" customHeight="1" x14ac:dyDescent="0.3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75" customHeight="1" x14ac:dyDescent="0.3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75" customHeight="1" x14ac:dyDescent="0.3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75" customHeight="1" x14ac:dyDescent="0.3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75" customHeight="1" x14ac:dyDescent="0.3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75" customHeight="1" x14ac:dyDescent="0.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75" customHeight="1" x14ac:dyDescent="0.3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75" customHeight="1" x14ac:dyDescent="0.3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75" customHeight="1" x14ac:dyDescent="0.3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75" customHeight="1" x14ac:dyDescent="0.3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75" customHeight="1" x14ac:dyDescent="0.3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75" customHeight="1" x14ac:dyDescent="0.3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75" customHeight="1" x14ac:dyDescent="0.3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75" customHeight="1" x14ac:dyDescent="0.3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75" customHeight="1" x14ac:dyDescent="0.3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75" customHeight="1" x14ac:dyDescent="0.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75" customHeight="1" x14ac:dyDescent="0.3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75" customHeight="1" x14ac:dyDescent="0.3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75" customHeight="1" x14ac:dyDescent="0.3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75" customHeight="1" x14ac:dyDescent="0.3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75" customHeight="1" x14ac:dyDescent="0.3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75" customHeight="1" x14ac:dyDescent="0.3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75" customHeight="1" x14ac:dyDescent="0.3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75" customHeight="1" x14ac:dyDescent="0.3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75" customHeight="1" x14ac:dyDescent="0.3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75" customHeight="1" x14ac:dyDescent="0.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75" customHeight="1" x14ac:dyDescent="0.3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75" customHeight="1" x14ac:dyDescent="0.3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75" customHeight="1" x14ac:dyDescent="0.3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75" customHeight="1" x14ac:dyDescent="0.3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75" customHeight="1" x14ac:dyDescent="0.3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75" customHeight="1" x14ac:dyDescent="0.3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75" customHeight="1" x14ac:dyDescent="0.3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75" customHeight="1" x14ac:dyDescent="0.3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75" customHeight="1" x14ac:dyDescent="0.3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75" customHeight="1" x14ac:dyDescent="0.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75" customHeight="1" x14ac:dyDescent="0.3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75" customHeight="1" x14ac:dyDescent="0.3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75" customHeight="1" x14ac:dyDescent="0.3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75" customHeight="1" x14ac:dyDescent="0.3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75" customHeight="1" x14ac:dyDescent="0.3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75" customHeight="1" x14ac:dyDescent="0.3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75" customHeight="1" x14ac:dyDescent="0.3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75" customHeight="1" x14ac:dyDescent="0.3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75" customHeight="1" x14ac:dyDescent="0.3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75" customHeight="1" x14ac:dyDescent="0.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75" customHeight="1" x14ac:dyDescent="0.3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75" customHeight="1" x14ac:dyDescent="0.3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75" customHeight="1" x14ac:dyDescent="0.3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75" customHeight="1" x14ac:dyDescent="0.3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75" customHeight="1" x14ac:dyDescent="0.3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75" customHeight="1" x14ac:dyDescent="0.3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75" customHeight="1" x14ac:dyDescent="0.3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75" customHeight="1" x14ac:dyDescent="0.3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75" customHeight="1" x14ac:dyDescent="0.3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75" customHeight="1" x14ac:dyDescent="0.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75" customHeight="1" x14ac:dyDescent="0.3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75" customHeight="1" x14ac:dyDescent="0.3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75" customHeight="1" x14ac:dyDescent="0.3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75" customHeight="1" x14ac:dyDescent="0.3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75" customHeight="1" x14ac:dyDescent="0.3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75" customHeight="1" x14ac:dyDescent="0.3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75" customHeight="1" x14ac:dyDescent="0.3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75" customHeight="1" x14ac:dyDescent="0.3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75" customHeight="1" x14ac:dyDescent="0.3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75" customHeight="1" x14ac:dyDescent="0.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75" customHeight="1" x14ac:dyDescent="0.3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75" customHeight="1" x14ac:dyDescent="0.3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75" customHeight="1" x14ac:dyDescent="0.3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75" customHeight="1" x14ac:dyDescent="0.3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75" customHeight="1" x14ac:dyDescent="0.3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75" customHeight="1" x14ac:dyDescent="0.3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75" customHeight="1" x14ac:dyDescent="0.3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75" customHeight="1" x14ac:dyDescent="0.3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75" customHeight="1" x14ac:dyDescent="0.3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75" customHeight="1" x14ac:dyDescent="0.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75" customHeight="1" x14ac:dyDescent="0.3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75" customHeight="1" x14ac:dyDescent="0.3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75" customHeight="1" x14ac:dyDescent="0.3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75" customHeight="1" x14ac:dyDescent="0.3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75" customHeight="1" x14ac:dyDescent="0.3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75" customHeight="1" x14ac:dyDescent="0.3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75" customHeight="1" x14ac:dyDescent="0.3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75" customHeight="1" x14ac:dyDescent="0.3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75" customHeight="1" x14ac:dyDescent="0.3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75" customHeight="1" x14ac:dyDescent="0.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75" customHeight="1" x14ac:dyDescent="0.3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75" customHeight="1" x14ac:dyDescent="0.3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75" customHeight="1" x14ac:dyDescent="0.3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75" customHeight="1" x14ac:dyDescent="0.3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75" customHeight="1" x14ac:dyDescent="0.3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75" customHeight="1" x14ac:dyDescent="0.3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75" customHeight="1" x14ac:dyDescent="0.3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75" customHeight="1" x14ac:dyDescent="0.3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75" customHeight="1" x14ac:dyDescent="0.3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75" customHeight="1" x14ac:dyDescent="0.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75" customHeight="1" x14ac:dyDescent="0.3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75" customHeight="1" x14ac:dyDescent="0.3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75" customHeight="1" x14ac:dyDescent="0.3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75" customHeight="1" x14ac:dyDescent="0.3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75" customHeight="1" x14ac:dyDescent="0.3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75" customHeight="1" x14ac:dyDescent="0.3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75" customHeight="1" x14ac:dyDescent="0.3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75" customHeight="1" x14ac:dyDescent="0.3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75" customHeight="1" x14ac:dyDescent="0.3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75" customHeight="1" x14ac:dyDescent="0.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75" customHeight="1" x14ac:dyDescent="0.3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75" customHeight="1" x14ac:dyDescent="0.3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75" customHeight="1" x14ac:dyDescent="0.3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75" customHeight="1" x14ac:dyDescent="0.3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75" customHeight="1" x14ac:dyDescent="0.3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75" customHeight="1" x14ac:dyDescent="0.3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75" customHeight="1" x14ac:dyDescent="0.3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75" customHeight="1" x14ac:dyDescent="0.3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75" customHeight="1" x14ac:dyDescent="0.3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75" customHeight="1" x14ac:dyDescent="0.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75" customHeight="1" x14ac:dyDescent="0.3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75" customHeight="1" x14ac:dyDescent="0.3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75" customHeight="1" x14ac:dyDescent="0.3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75" customHeight="1" x14ac:dyDescent="0.3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75" customHeight="1" x14ac:dyDescent="0.3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75" customHeight="1" x14ac:dyDescent="0.3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75" customHeight="1" x14ac:dyDescent="0.3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75" customHeight="1" x14ac:dyDescent="0.3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75" customHeight="1" x14ac:dyDescent="0.3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75" customHeight="1" x14ac:dyDescent="0.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75" customHeight="1" x14ac:dyDescent="0.3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75" customHeight="1" x14ac:dyDescent="0.3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75" customHeight="1" x14ac:dyDescent="0.3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75" customHeight="1" x14ac:dyDescent="0.3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75" customHeight="1" x14ac:dyDescent="0.3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75" customHeight="1" x14ac:dyDescent="0.3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75" customHeight="1" x14ac:dyDescent="0.3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75" customHeight="1" x14ac:dyDescent="0.3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75" customHeight="1" x14ac:dyDescent="0.3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75" customHeight="1" x14ac:dyDescent="0.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75" customHeight="1" x14ac:dyDescent="0.3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75" customHeight="1" x14ac:dyDescent="0.3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75" customHeight="1" x14ac:dyDescent="0.3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75" customHeight="1" x14ac:dyDescent="0.3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75" customHeight="1" x14ac:dyDescent="0.3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75" customHeight="1" x14ac:dyDescent="0.3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75" customHeight="1" x14ac:dyDescent="0.3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75" customHeight="1" x14ac:dyDescent="0.3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75" customHeight="1" x14ac:dyDescent="0.3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75" customHeight="1" x14ac:dyDescent="0.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75" customHeight="1" x14ac:dyDescent="0.3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75" customHeight="1" x14ac:dyDescent="0.3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75" customHeight="1" x14ac:dyDescent="0.3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75" customHeight="1" x14ac:dyDescent="0.3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75" customHeight="1" x14ac:dyDescent="0.3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75" customHeight="1" x14ac:dyDescent="0.3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75" customHeight="1" x14ac:dyDescent="0.3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75" customHeight="1" x14ac:dyDescent="0.3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75" customHeight="1" x14ac:dyDescent="0.3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75" customHeight="1" x14ac:dyDescent="0.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75" customHeight="1" x14ac:dyDescent="0.3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75" customHeight="1" x14ac:dyDescent="0.3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75" customHeight="1" x14ac:dyDescent="0.3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75" customHeight="1" x14ac:dyDescent="0.3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75" customHeight="1" x14ac:dyDescent="0.3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75" customHeight="1" x14ac:dyDescent="0.3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75" customHeight="1" x14ac:dyDescent="0.3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75" customHeight="1" x14ac:dyDescent="0.3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75" customHeight="1" x14ac:dyDescent="0.3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75" customHeight="1" x14ac:dyDescent="0.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75" customHeight="1" x14ac:dyDescent="0.3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75" customHeight="1" x14ac:dyDescent="0.3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75" customHeight="1" x14ac:dyDescent="0.3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75" customHeight="1" x14ac:dyDescent="0.3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75" customHeight="1" x14ac:dyDescent="0.3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75" customHeight="1" x14ac:dyDescent="0.3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75" customHeight="1" x14ac:dyDescent="0.3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75" customHeight="1" x14ac:dyDescent="0.3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75" customHeight="1" x14ac:dyDescent="0.3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75" customHeight="1" x14ac:dyDescent="0.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75" customHeight="1" x14ac:dyDescent="0.3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75" customHeight="1" x14ac:dyDescent="0.3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75" customHeight="1" x14ac:dyDescent="0.3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75" customHeight="1" x14ac:dyDescent="0.3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75" customHeight="1" x14ac:dyDescent="0.3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75" customHeight="1" x14ac:dyDescent="0.3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75" customHeight="1" x14ac:dyDescent="0.3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75" customHeight="1" x14ac:dyDescent="0.3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75" customHeight="1" x14ac:dyDescent="0.3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75" customHeight="1" x14ac:dyDescent="0.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75" customHeight="1" x14ac:dyDescent="0.3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75" customHeight="1" x14ac:dyDescent="0.3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75" customHeight="1" x14ac:dyDescent="0.3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75" customHeight="1" x14ac:dyDescent="0.3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75" customHeight="1" x14ac:dyDescent="0.3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75" customHeight="1" x14ac:dyDescent="0.3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75" customHeight="1" x14ac:dyDescent="0.3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75" customHeight="1" x14ac:dyDescent="0.3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75" customHeight="1" x14ac:dyDescent="0.3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75" customHeight="1" x14ac:dyDescent="0.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75" customHeight="1" x14ac:dyDescent="0.3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75" customHeight="1" x14ac:dyDescent="0.3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75" customHeight="1" x14ac:dyDescent="0.3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75" customHeight="1" x14ac:dyDescent="0.3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75" customHeight="1" x14ac:dyDescent="0.3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75" customHeight="1" x14ac:dyDescent="0.3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75" customHeight="1" x14ac:dyDescent="0.3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75" customHeight="1" x14ac:dyDescent="0.3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75" customHeight="1" x14ac:dyDescent="0.3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75" customHeight="1" x14ac:dyDescent="0.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75" customHeight="1" x14ac:dyDescent="0.3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75" customHeight="1" x14ac:dyDescent="0.3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75" customHeight="1" x14ac:dyDescent="0.3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75" customHeight="1" x14ac:dyDescent="0.3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75" customHeight="1" x14ac:dyDescent="0.3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75" customHeight="1" x14ac:dyDescent="0.3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75" customHeight="1" x14ac:dyDescent="0.3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75" customHeight="1" x14ac:dyDescent="0.3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75" customHeight="1" x14ac:dyDescent="0.3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75" customHeight="1" x14ac:dyDescent="0.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75" customHeight="1" x14ac:dyDescent="0.3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75" customHeight="1" x14ac:dyDescent="0.3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75" customHeight="1" x14ac:dyDescent="0.3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75" customHeight="1" x14ac:dyDescent="0.3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75" customHeight="1" x14ac:dyDescent="0.3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75" customHeight="1" x14ac:dyDescent="0.3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75" customHeight="1" x14ac:dyDescent="0.3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75" customHeight="1" x14ac:dyDescent="0.3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75" customHeight="1" x14ac:dyDescent="0.3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75" customHeight="1" x14ac:dyDescent="0.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75" customHeight="1" x14ac:dyDescent="0.3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75" customHeight="1" x14ac:dyDescent="0.3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75" customHeight="1" x14ac:dyDescent="0.3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75" customHeight="1" x14ac:dyDescent="0.3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75" customHeight="1" x14ac:dyDescent="0.3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75" customHeight="1" x14ac:dyDescent="0.3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75" customHeight="1" x14ac:dyDescent="0.3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75" customHeight="1" x14ac:dyDescent="0.3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75" customHeight="1" x14ac:dyDescent="0.3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75" customHeight="1" x14ac:dyDescent="0.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75" customHeight="1" x14ac:dyDescent="0.3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75" customHeight="1" x14ac:dyDescent="0.3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75" customHeight="1" x14ac:dyDescent="0.3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75" customHeight="1" x14ac:dyDescent="0.3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75" customHeight="1" x14ac:dyDescent="0.3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75" customHeight="1" x14ac:dyDescent="0.3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75" customHeight="1" x14ac:dyDescent="0.3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75" customHeight="1" x14ac:dyDescent="0.3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75" customHeight="1" x14ac:dyDescent="0.3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75" customHeight="1" x14ac:dyDescent="0.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75" customHeight="1" x14ac:dyDescent="0.3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75" customHeight="1" x14ac:dyDescent="0.3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75" customHeight="1" x14ac:dyDescent="0.3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75" customHeight="1" x14ac:dyDescent="0.3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75" customHeight="1" x14ac:dyDescent="0.3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75" customHeight="1" x14ac:dyDescent="0.3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75" customHeight="1" x14ac:dyDescent="0.3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75" customHeight="1" x14ac:dyDescent="0.3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75" customHeight="1" x14ac:dyDescent="0.3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75" customHeight="1" x14ac:dyDescent="0.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75" customHeight="1" x14ac:dyDescent="0.3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75" customHeight="1" x14ac:dyDescent="0.3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75" customHeight="1" x14ac:dyDescent="0.3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75" customHeight="1" x14ac:dyDescent="0.3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75" customHeight="1" x14ac:dyDescent="0.3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75" customHeight="1" x14ac:dyDescent="0.3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75" customHeight="1" x14ac:dyDescent="0.3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75" customHeight="1" x14ac:dyDescent="0.3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75" customHeight="1" x14ac:dyDescent="0.3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75" customHeight="1" x14ac:dyDescent="0.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75" customHeight="1" x14ac:dyDescent="0.3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75" customHeight="1" x14ac:dyDescent="0.3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75" customHeight="1" x14ac:dyDescent="0.3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75" customHeight="1" x14ac:dyDescent="0.3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75" customHeight="1" x14ac:dyDescent="0.3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75" customHeight="1" x14ac:dyDescent="0.3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75" customHeight="1" x14ac:dyDescent="0.3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75" customHeight="1" x14ac:dyDescent="0.3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75" customHeight="1" x14ac:dyDescent="0.3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75" customHeight="1" x14ac:dyDescent="0.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75" customHeight="1" x14ac:dyDescent="0.3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75" customHeight="1" x14ac:dyDescent="0.3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75" customHeight="1" x14ac:dyDescent="0.3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75" customHeight="1" x14ac:dyDescent="0.3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75" customHeight="1" x14ac:dyDescent="0.3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75" customHeight="1" x14ac:dyDescent="0.3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75" customHeight="1" x14ac:dyDescent="0.3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75" customHeight="1" x14ac:dyDescent="0.3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75" customHeight="1" x14ac:dyDescent="0.3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75" customHeight="1" x14ac:dyDescent="0.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75" customHeight="1" x14ac:dyDescent="0.3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75" customHeight="1" x14ac:dyDescent="0.3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75" customHeight="1" x14ac:dyDescent="0.3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75" customHeight="1" x14ac:dyDescent="0.3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75" customHeight="1" x14ac:dyDescent="0.3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75" customHeight="1" x14ac:dyDescent="0.3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75" customHeight="1" x14ac:dyDescent="0.3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75" customHeight="1" x14ac:dyDescent="0.3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75" customHeight="1" x14ac:dyDescent="0.3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75" customHeight="1" x14ac:dyDescent="0.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75" customHeight="1" x14ac:dyDescent="0.3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75" customHeight="1" x14ac:dyDescent="0.3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75" customHeight="1" x14ac:dyDescent="0.3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75" customHeight="1" x14ac:dyDescent="0.3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75" customHeight="1" x14ac:dyDescent="0.3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75" customHeight="1" x14ac:dyDescent="0.3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75" customHeight="1" x14ac:dyDescent="0.3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75" customHeight="1" x14ac:dyDescent="0.3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75" customHeight="1" x14ac:dyDescent="0.3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75" customHeight="1" x14ac:dyDescent="0.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75" customHeight="1" x14ac:dyDescent="0.3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75" customHeight="1" x14ac:dyDescent="0.3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75" customHeight="1" x14ac:dyDescent="0.3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75" customHeight="1" x14ac:dyDescent="0.3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75" customHeight="1" x14ac:dyDescent="0.3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75" customHeight="1" x14ac:dyDescent="0.3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75" customHeight="1" x14ac:dyDescent="0.3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75" customHeight="1" x14ac:dyDescent="0.3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75" customHeight="1" x14ac:dyDescent="0.3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75" customHeight="1" x14ac:dyDescent="0.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75" customHeight="1" x14ac:dyDescent="0.3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75" customHeight="1" x14ac:dyDescent="0.3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75" customHeight="1" x14ac:dyDescent="0.3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75" customHeight="1" x14ac:dyDescent="0.3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75" customHeight="1" x14ac:dyDescent="0.3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75" customHeight="1" x14ac:dyDescent="0.3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75" customHeight="1" x14ac:dyDescent="0.3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75" customHeight="1" x14ac:dyDescent="0.3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75" customHeight="1" x14ac:dyDescent="0.3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75" customHeight="1" x14ac:dyDescent="0.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75" customHeight="1" x14ac:dyDescent="0.3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75" customHeight="1" x14ac:dyDescent="0.3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75" customHeight="1" x14ac:dyDescent="0.3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75" customHeight="1" x14ac:dyDescent="0.3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75" customHeight="1" x14ac:dyDescent="0.3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75" customHeight="1" x14ac:dyDescent="0.3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75" customHeight="1" x14ac:dyDescent="0.3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75" customHeight="1" x14ac:dyDescent="0.3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75" customHeight="1" x14ac:dyDescent="0.3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75" customHeight="1" x14ac:dyDescent="0.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75" customHeight="1" x14ac:dyDescent="0.3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75" customHeight="1" x14ac:dyDescent="0.3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75" customHeight="1" x14ac:dyDescent="0.3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75" customHeight="1" x14ac:dyDescent="0.3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75" customHeight="1" x14ac:dyDescent="0.3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75" customHeight="1" x14ac:dyDescent="0.3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75" customHeight="1" x14ac:dyDescent="0.3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75" customHeight="1" x14ac:dyDescent="0.3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75" customHeight="1" x14ac:dyDescent="0.3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75" customHeight="1" x14ac:dyDescent="0.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75" customHeight="1" x14ac:dyDescent="0.3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75" customHeight="1" x14ac:dyDescent="0.3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75" customHeight="1" x14ac:dyDescent="0.3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75" customHeight="1" x14ac:dyDescent="0.3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75" customHeight="1" x14ac:dyDescent="0.3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75" customHeight="1" x14ac:dyDescent="0.3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75" customHeight="1" x14ac:dyDescent="0.3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75" customHeight="1" x14ac:dyDescent="0.3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75" customHeight="1" x14ac:dyDescent="0.3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75" customHeight="1" x14ac:dyDescent="0.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75" customHeight="1" x14ac:dyDescent="0.3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75" customHeight="1" x14ac:dyDescent="0.3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75" customHeight="1" x14ac:dyDescent="0.3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75" customHeight="1" x14ac:dyDescent="0.3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75" customHeight="1" x14ac:dyDescent="0.3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75" customHeight="1" x14ac:dyDescent="0.3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75" customHeight="1" x14ac:dyDescent="0.3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75" customHeight="1" x14ac:dyDescent="0.3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75" customHeight="1" x14ac:dyDescent="0.3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.75" customHeight="1" x14ac:dyDescent="0.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.75" customHeight="1" x14ac:dyDescent="0.3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.75" customHeight="1" x14ac:dyDescent="0.3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.75" customHeight="1" x14ac:dyDescent="0.3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.75" customHeight="1" x14ac:dyDescent="0.3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.75" customHeight="1" x14ac:dyDescent="0.3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.75" customHeight="1" x14ac:dyDescent="0.3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.75" customHeight="1" x14ac:dyDescent="0.3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.75" customHeight="1" x14ac:dyDescent="0.3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.75" customHeight="1" x14ac:dyDescent="0.3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.75" customHeight="1" x14ac:dyDescent="0.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.75" customHeight="1" x14ac:dyDescent="0.3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.75" customHeight="1" x14ac:dyDescent="0.3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.75" customHeight="1" x14ac:dyDescent="0.3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.75" customHeight="1" x14ac:dyDescent="0.3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.75" customHeight="1" x14ac:dyDescent="0.3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.75" customHeight="1" x14ac:dyDescent="0.3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.75" customHeight="1" x14ac:dyDescent="0.3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.75" customHeight="1" x14ac:dyDescent="0.3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.75" customHeight="1" x14ac:dyDescent="0.3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.75" customHeight="1" x14ac:dyDescent="0.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.75" customHeight="1" x14ac:dyDescent="0.3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.75" customHeight="1" x14ac:dyDescent="0.3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.75" customHeight="1" x14ac:dyDescent="0.3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.75" customHeight="1" x14ac:dyDescent="0.3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.75" customHeight="1" x14ac:dyDescent="0.3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.75" customHeight="1" x14ac:dyDescent="0.3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.75" customHeight="1" x14ac:dyDescent="0.3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.75" customHeight="1" x14ac:dyDescent="0.3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.75" customHeight="1" x14ac:dyDescent="0.3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.75" customHeight="1" x14ac:dyDescent="0.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.75" customHeight="1" x14ac:dyDescent="0.3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.75" customHeight="1" x14ac:dyDescent="0.3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.75" customHeight="1" x14ac:dyDescent="0.3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.75" customHeight="1" x14ac:dyDescent="0.3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.75" customHeight="1" x14ac:dyDescent="0.3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.75" customHeight="1" x14ac:dyDescent="0.3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.75" customHeight="1" x14ac:dyDescent="0.3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.75" customHeight="1" x14ac:dyDescent="0.3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.75" customHeight="1" x14ac:dyDescent="0.3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.75" customHeight="1" x14ac:dyDescent="0.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.75" customHeight="1" x14ac:dyDescent="0.3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.75" customHeight="1" x14ac:dyDescent="0.3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.75" customHeight="1" x14ac:dyDescent="0.3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.75" customHeight="1" x14ac:dyDescent="0.3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.75" customHeight="1" x14ac:dyDescent="0.3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.75" customHeight="1" x14ac:dyDescent="0.3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.75" customHeight="1" x14ac:dyDescent="0.3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.75" customHeight="1" x14ac:dyDescent="0.3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.75" customHeight="1" x14ac:dyDescent="0.3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.75" customHeight="1" x14ac:dyDescent="0.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.75" customHeight="1" x14ac:dyDescent="0.3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.75" customHeight="1" x14ac:dyDescent="0.3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.75" customHeight="1" x14ac:dyDescent="0.3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.75" customHeight="1" x14ac:dyDescent="0.3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.75" customHeight="1" x14ac:dyDescent="0.3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.75" customHeight="1" x14ac:dyDescent="0.3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.75" customHeight="1" x14ac:dyDescent="0.3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.75" customHeight="1" x14ac:dyDescent="0.3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.75" customHeight="1" x14ac:dyDescent="0.3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.75" customHeight="1" x14ac:dyDescent="0.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.75" customHeight="1" x14ac:dyDescent="0.3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.75" customHeight="1" x14ac:dyDescent="0.3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.75" customHeight="1" x14ac:dyDescent="0.3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.75" customHeight="1" x14ac:dyDescent="0.3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.75" customHeight="1" x14ac:dyDescent="0.3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.75" customHeight="1" x14ac:dyDescent="0.3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.75" customHeight="1" x14ac:dyDescent="0.3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.75" customHeight="1" x14ac:dyDescent="0.3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.75" customHeight="1" x14ac:dyDescent="0.3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.75" customHeight="1" x14ac:dyDescent="0.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.75" customHeight="1" x14ac:dyDescent="0.3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.75" customHeight="1" x14ac:dyDescent="0.3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.75" customHeight="1" x14ac:dyDescent="0.3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.75" customHeight="1" x14ac:dyDescent="0.3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.75" customHeight="1" x14ac:dyDescent="0.3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.75" customHeight="1" x14ac:dyDescent="0.3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.75" customHeight="1" x14ac:dyDescent="0.3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.75" customHeight="1" x14ac:dyDescent="0.3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.75" customHeight="1" x14ac:dyDescent="0.3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.75" customHeight="1" x14ac:dyDescent="0.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.75" customHeight="1" x14ac:dyDescent="0.3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.75" customHeight="1" x14ac:dyDescent="0.3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.75" customHeight="1" x14ac:dyDescent="0.3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.75" customHeight="1" x14ac:dyDescent="0.3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.75" customHeight="1" x14ac:dyDescent="0.3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.75" customHeight="1" x14ac:dyDescent="0.3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.75" customHeight="1" x14ac:dyDescent="0.3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.75" customHeight="1" x14ac:dyDescent="0.3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.75" customHeight="1" x14ac:dyDescent="0.3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.75" customHeight="1" x14ac:dyDescent="0.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.75" customHeight="1" x14ac:dyDescent="0.3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.75" customHeight="1" x14ac:dyDescent="0.3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.75" customHeight="1" x14ac:dyDescent="0.3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.75" customHeight="1" x14ac:dyDescent="0.3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.75" customHeight="1" x14ac:dyDescent="0.3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.75" customHeight="1" x14ac:dyDescent="0.3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.75" customHeight="1" x14ac:dyDescent="0.3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.75" customHeight="1" x14ac:dyDescent="0.3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.75" customHeight="1" x14ac:dyDescent="0.3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.75" customHeight="1" x14ac:dyDescent="0.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.75" customHeight="1" x14ac:dyDescent="0.3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.75" customHeight="1" x14ac:dyDescent="0.3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.75" customHeight="1" x14ac:dyDescent="0.3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.75" customHeight="1" x14ac:dyDescent="0.3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.75" customHeight="1" x14ac:dyDescent="0.3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.75" customHeight="1" x14ac:dyDescent="0.3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.75" customHeight="1" x14ac:dyDescent="0.3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.75" customHeight="1" x14ac:dyDescent="0.3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.75" customHeight="1" x14ac:dyDescent="0.3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.75" customHeight="1" x14ac:dyDescent="0.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.75" customHeight="1" x14ac:dyDescent="0.3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.75" customHeight="1" x14ac:dyDescent="0.3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.75" customHeight="1" x14ac:dyDescent="0.3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.75" customHeight="1" x14ac:dyDescent="0.3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.75" customHeight="1" x14ac:dyDescent="0.3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.75" customHeight="1" x14ac:dyDescent="0.3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.75" customHeight="1" x14ac:dyDescent="0.3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.75" customHeight="1" x14ac:dyDescent="0.3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.75" customHeight="1" x14ac:dyDescent="0.3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.75" customHeight="1" x14ac:dyDescent="0.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.75" customHeight="1" x14ac:dyDescent="0.3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.75" customHeight="1" x14ac:dyDescent="0.3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.75" customHeight="1" x14ac:dyDescent="0.3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.75" customHeight="1" x14ac:dyDescent="0.3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.75" customHeight="1" x14ac:dyDescent="0.3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.75" customHeight="1" x14ac:dyDescent="0.3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.75" customHeight="1" x14ac:dyDescent="0.3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.75" customHeight="1" x14ac:dyDescent="0.3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.75" customHeight="1" x14ac:dyDescent="0.3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.75" customHeight="1" x14ac:dyDescent="0.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.75" customHeight="1" x14ac:dyDescent="0.3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.75" customHeight="1" x14ac:dyDescent="0.3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.75" customHeight="1" x14ac:dyDescent="0.3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.75" customHeight="1" x14ac:dyDescent="0.3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.75" customHeight="1" x14ac:dyDescent="0.3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.75" customHeight="1" x14ac:dyDescent="0.3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.75" customHeight="1" x14ac:dyDescent="0.3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.75" customHeight="1" x14ac:dyDescent="0.3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.75" customHeight="1" x14ac:dyDescent="0.3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.75" customHeight="1" x14ac:dyDescent="0.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.75" customHeight="1" x14ac:dyDescent="0.3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.75" customHeight="1" x14ac:dyDescent="0.3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.75" customHeight="1" x14ac:dyDescent="0.3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.75" customHeight="1" x14ac:dyDescent="0.3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.75" customHeight="1" x14ac:dyDescent="0.3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.75" customHeight="1" x14ac:dyDescent="0.3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.75" customHeight="1" x14ac:dyDescent="0.3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.75" customHeight="1" x14ac:dyDescent="0.3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.75" customHeight="1" x14ac:dyDescent="0.3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.75" customHeight="1" x14ac:dyDescent="0.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.75" customHeight="1" x14ac:dyDescent="0.3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.75" customHeight="1" x14ac:dyDescent="0.3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.75" customHeight="1" x14ac:dyDescent="0.3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.75" customHeight="1" x14ac:dyDescent="0.3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.75" customHeight="1" x14ac:dyDescent="0.3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.75" customHeight="1" x14ac:dyDescent="0.3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.75" customHeight="1" x14ac:dyDescent="0.3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.75" customHeight="1" x14ac:dyDescent="0.3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.75" customHeight="1" x14ac:dyDescent="0.3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.75" customHeight="1" x14ac:dyDescent="0.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.75" customHeight="1" x14ac:dyDescent="0.3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.75" customHeight="1" x14ac:dyDescent="0.3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.75" customHeight="1" x14ac:dyDescent="0.3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.75" customHeight="1" x14ac:dyDescent="0.3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.75" customHeight="1" x14ac:dyDescent="0.3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.75" customHeight="1" x14ac:dyDescent="0.3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.75" customHeight="1" x14ac:dyDescent="0.3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.75" customHeight="1" x14ac:dyDescent="0.3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.75" customHeight="1" x14ac:dyDescent="0.3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.75" customHeight="1" x14ac:dyDescent="0.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.75" customHeight="1" x14ac:dyDescent="0.3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.75" customHeight="1" x14ac:dyDescent="0.3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.75" customHeight="1" x14ac:dyDescent="0.3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.75" customHeight="1" x14ac:dyDescent="0.3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.75" customHeight="1" x14ac:dyDescent="0.3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.75" customHeight="1" x14ac:dyDescent="0.3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.75" customHeight="1" x14ac:dyDescent="0.3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.75" customHeight="1" x14ac:dyDescent="0.3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.75" customHeight="1" x14ac:dyDescent="0.3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.75" customHeight="1" x14ac:dyDescent="0.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.75" customHeight="1" x14ac:dyDescent="0.3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.75" customHeight="1" x14ac:dyDescent="0.3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.75" customHeight="1" x14ac:dyDescent="0.3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.75" customHeight="1" x14ac:dyDescent="0.3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.75" customHeight="1" x14ac:dyDescent="0.3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.75" customHeight="1" x14ac:dyDescent="0.3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.75" customHeight="1" x14ac:dyDescent="0.3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.75" customHeight="1" x14ac:dyDescent="0.3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.75" customHeight="1" x14ac:dyDescent="0.3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.75" customHeight="1" x14ac:dyDescent="0.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.75" customHeight="1" x14ac:dyDescent="0.3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.75" customHeight="1" x14ac:dyDescent="0.3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.75" customHeight="1" x14ac:dyDescent="0.3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.75" customHeight="1" x14ac:dyDescent="0.3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.75" customHeight="1" x14ac:dyDescent="0.3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.75" customHeight="1" x14ac:dyDescent="0.3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2.75" customHeight="1" x14ac:dyDescent="0.3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31">
    <mergeCell ref="B2:C4"/>
    <mergeCell ref="D2:D4"/>
    <mergeCell ref="E3:G3"/>
    <mergeCell ref="E4:F4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30:G30"/>
    <mergeCell ref="C31:G31"/>
    <mergeCell ref="C32:G32"/>
    <mergeCell ref="C23:G23"/>
    <mergeCell ref="C24:G24"/>
    <mergeCell ref="C25:G25"/>
    <mergeCell ref="C26:G26"/>
    <mergeCell ref="C27:G27"/>
    <mergeCell ref="C28:G28"/>
    <mergeCell ref="C29:G29"/>
  </mergeCells>
  <printOptions horizontalCentered="1"/>
  <pageMargins left="0.25" right="0.25" top="1" bottom="1" header="0" footer="0"/>
  <pageSetup scale="53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Q141"/>
  <sheetViews>
    <sheetView workbookViewId="0">
      <selection activeCell="A142" sqref="A142:XFD972"/>
    </sheetView>
  </sheetViews>
  <sheetFormatPr baseColWidth="10" defaultColWidth="14.44140625" defaultRowHeight="15" customHeight="1" x14ac:dyDescent="0.3"/>
  <cols>
    <col min="1" max="1" width="55.109375" customWidth="1"/>
    <col min="2" max="2" width="14.5546875" customWidth="1"/>
    <col min="3" max="3" width="6.77734375" customWidth="1"/>
    <col min="4" max="4" width="5.5546875" customWidth="1"/>
    <col min="5" max="5" width="9.109375" customWidth="1"/>
    <col min="6" max="6" width="10.77734375" customWidth="1"/>
    <col min="7" max="17" width="17.5546875" customWidth="1"/>
    <col min="18" max="25" width="10.77734375" customWidth="1"/>
  </cols>
  <sheetData>
    <row r="1" spans="1:5" ht="14.25" customHeight="1" x14ac:dyDescent="0.3">
      <c r="A1" s="31" t="s">
        <v>115</v>
      </c>
      <c r="B1" s="31" t="s">
        <v>116</v>
      </c>
      <c r="C1" s="31" t="s">
        <v>117</v>
      </c>
      <c r="D1" s="31" t="s">
        <v>118</v>
      </c>
    </row>
    <row r="2" spans="1:5" ht="14.25" customHeight="1" x14ac:dyDescent="0.3">
      <c r="A2" s="32" t="s">
        <v>368</v>
      </c>
      <c r="B2" s="53" t="s">
        <v>120</v>
      </c>
      <c r="C2" s="53">
        <v>1</v>
      </c>
      <c r="D2" s="32">
        <v>4</v>
      </c>
      <c r="E2" s="53" t="s">
        <v>119</v>
      </c>
    </row>
    <row r="3" spans="1:5" ht="14.25" customHeight="1" x14ac:dyDescent="0.3">
      <c r="A3" s="32" t="s">
        <v>369</v>
      </c>
      <c r="B3" s="53" t="s">
        <v>121</v>
      </c>
      <c r="C3" s="53">
        <v>1</v>
      </c>
      <c r="D3" s="32">
        <v>7</v>
      </c>
      <c r="E3" s="53" t="s">
        <v>119</v>
      </c>
    </row>
    <row r="4" spans="1:5" ht="14.25" customHeight="1" x14ac:dyDescent="0.3">
      <c r="A4" s="32" t="s">
        <v>370</v>
      </c>
      <c r="B4" s="53" t="s">
        <v>123</v>
      </c>
      <c r="C4" s="53">
        <v>1</v>
      </c>
      <c r="D4" s="32">
        <v>6</v>
      </c>
      <c r="E4" s="53" t="s">
        <v>119</v>
      </c>
    </row>
    <row r="5" spans="1:5" ht="14.25" customHeight="1" x14ac:dyDescent="0.3">
      <c r="A5" s="32" t="s">
        <v>371</v>
      </c>
      <c r="B5" s="53" t="s">
        <v>124</v>
      </c>
      <c r="C5" s="53">
        <v>1</v>
      </c>
      <c r="D5" s="32">
        <v>4</v>
      </c>
      <c r="E5" s="53" t="s">
        <v>119</v>
      </c>
    </row>
    <row r="6" spans="1:5" ht="14.25" customHeight="1" x14ac:dyDescent="0.3">
      <c r="A6" s="32" t="s">
        <v>372</v>
      </c>
      <c r="B6" s="53" t="s">
        <v>125</v>
      </c>
      <c r="C6" s="53">
        <v>1</v>
      </c>
      <c r="D6" s="32">
        <v>4</v>
      </c>
      <c r="E6" s="53" t="s">
        <v>119</v>
      </c>
    </row>
    <row r="7" spans="1:5" ht="14.25" customHeight="1" x14ac:dyDescent="0.3">
      <c r="A7" s="32" t="s">
        <v>373</v>
      </c>
      <c r="B7" s="53" t="s">
        <v>126</v>
      </c>
      <c r="C7" s="53">
        <v>1</v>
      </c>
      <c r="D7" s="32">
        <v>5</v>
      </c>
      <c r="E7" s="53" t="s">
        <v>119</v>
      </c>
    </row>
    <row r="8" spans="1:5" ht="14.25" customHeight="1" x14ac:dyDescent="0.3">
      <c r="A8" s="53" t="s">
        <v>374</v>
      </c>
      <c r="B8" s="53" t="s">
        <v>127</v>
      </c>
      <c r="C8" s="53">
        <v>2</v>
      </c>
      <c r="D8" s="53">
        <v>4</v>
      </c>
      <c r="E8" s="53" t="s">
        <v>119</v>
      </c>
    </row>
    <row r="9" spans="1:5" ht="14.25" customHeight="1" x14ac:dyDescent="0.3">
      <c r="A9" s="53" t="s">
        <v>375</v>
      </c>
      <c r="B9" s="53" t="s">
        <v>128</v>
      </c>
      <c r="C9" s="53">
        <v>2</v>
      </c>
      <c r="D9" s="53">
        <v>6</v>
      </c>
      <c r="E9" s="53" t="s">
        <v>119</v>
      </c>
    </row>
    <row r="10" spans="1:5" ht="14.25" customHeight="1" x14ac:dyDescent="0.3">
      <c r="A10" s="53" t="s">
        <v>376</v>
      </c>
      <c r="B10" s="53" t="s">
        <v>129</v>
      </c>
      <c r="C10" s="53">
        <v>2</v>
      </c>
      <c r="D10" s="53">
        <v>6</v>
      </c>
      <c r="E10" s="53" t="s">
        <v>119</v>
      </c>
    </row>
    <row r="11" spans="1:5" ht="14.25" customHeight="1" x14ac:dyDescent="0.3">
      <c r="A11" s="53" t="s">
        <v>377</v>
      </c>
      <c r="B11" s="53" t="s">
        <v>131</v>
      </c>
      <c r="C11" s="53">
        <v>2</v>
      </c>
      <c r="D11" s="53">
        <v>5</v>
      </c>
      <c r="E11" s="53" t="s">
        <v>119</v>
      </c>
    </row>
    <row r="12" spans="1:5" ht="14.25" customHeight="1" x14ac:dyDescent="0.3">
      <c r="A12" s="53" t="s">
        <v>378</v>
      </c>
      <c r="B12" s="53" t="s">
        <v>132</v>
      </c>
      <c r="C12" s="53">
        <v>2</v>
      </c>
      <c r="D12" s="53">
        <v>5</v>
      </c>
      <c r="E12" s="53" t="s">
        <v>119</v>
      </c>
    </row>
    <row r="13" spans="1:5" ht="14.25" customHeight="1" x14ac:dyDescent="0.3">
      <c r="A13" s="53" t="s">
        <v>379</v>
      </c>
      <c r="B13" s="53" t="s">
        <v>133</v>
      </c>
      <c r="C13" s="53">
        <v>2</v>
      </c>
      <c r="D13" s="53">
        <v>4</v>
      </c>
      <c r="E13" s="53" t="s">
        <v>119</v>
      </c>
    </row>
    <row r="14" spans="1:5" ht="14.25" customHeight="1" x14ac:dyDescent="0.3">
      <c r="A14" s="32" t="s">
        <v>380</v>
      </c>
      <c r="B14" s="53" t="s">
        <v>381</v>
      </c>
      <c r="C14" s="53">
        <v>3</v>
      </c>
      <c r="D14" s="53">
        <v>4</v>
      </c>
      <c r="E14" s="53" t="s">
        <v>119</v>
      </c>
    </row>
    <row r="15" spans="1:5" ht="14.25" customHeight="1" x14ac:dyDescent="0.3">
      <c r="A15" s="32" t="s">
        <v>382</v>
      </c>
      <c r="B15" s="53" t="s">
        <v>383</v>
      </c>
      <c r="C15" s="53">
        <v>3</v>
      </c>
      <c r="D15" s="53">
        <v>4</v>
      </c>
      <c r="E15" s="53" t="s">
        <v>119</v>
      </c>
    </row>
    <row r="16" spans="1:5" ht="14.25" customHeight="1" x14ac:dyDescent="0.3">
      <c r="A16" s="32" t="s">
        <v>384</v>
      </c>
      <c r="B16" s="53" t="s">
        <v>385</v>
      </c>
      <c r="C16" s="53">
        <v>3</v>
      </c>
      <c r="D16" s="53">
        <v>6</v>
      </c>
      <c r="E16" s="53" t="s">
        <v>119</v>
      </c>
    </row>
    <row r="17" spans="1:5" ht="14.25" customHeight="1" x14ac:dyDescent="0.3">
      <c r="A17" s="32" t="s">
        <v>386</v>
      </c>
      <c r="B17" s="53" t="s">
        <v>387</v>
      </c>
      <c r="C17" s="53">
        <v>3</v>
      </c>
      <c r="D17" s="53">
        <v>6</v>
      </c>
      <c r="E17" s="53" t="s">
        <v>119</v>
      </c>
    </row>
    <row r="18" spans="1:5" ht="14.25" customHeight="1" x14ac:dyDescent="0.3">
      <c r="A18" s="32" t="s">
        <v>388</v>
      </c>
      <c r="B18" s="53" t="s">
        <v>389</v>
      </c>
      <c r="C18" s="53">
        <v>3</v>
      </c>
      <c r="D18" s="53">
        <v>6</v>
      </c>
      <c r="E18" s="53" t="s">
        <v>119</v>
      </c>
    </row>
    <row r="19" spans="1:5" ht="14.25" customHeight="1" x14ac:dyDescent="0.3">
      <c r="A19" s="32" t="s">
        <v>390</v>
      </c>
      <c r="B19" s="53" t="s">
        <v>391</v>
      </c>
      <c r="C19" s="53">
        <v>3</v>
      </c>
      <c r="D19" s="53">
        <v>4</v>
      </c>
      <c r="E19" s="53" t="s">
        <v>119</v>
      </c>
    </row>
    <row r="20" spans="1:5" ht="14.25" customHeight="1" x14ac:dyDescent="0.3">
      <c r="A20" s="53" t="s">
        <v>392</v>
      </c>
      <c r="B20" s="53" t="s">
        <v>134</v>
      </c>
      <c r="C20" s="53">
        <v>1</v>
      </c>
      <c r="D20" s="53">
        <v>4</v>
      </c>
      <c r="E20" s="53" t="s">
        <v>119</v>
      </c>
    </row>
    <row r="21" spans="1:5" ht="14.25" customHeight="1" x14ac:dyDescent="0.3">
      <c r="A21" s="53" t="s">
        <v>393</v>
      </c>
      <c r="B21" s="53" t="s">
        <v>135</v>
      </c>
      <c r="C21" s="53">
        <v>1</v>
      </c>
      <c r="D21" s="53">
        <v>7</v>
      </c>
      <c r="E21" s="53" t="s">
        <v>119</v>
      </c>
    </row>
    <row r="22" spans="1:5" ht="14.25" customHeight="1" x14ac:dyDescent="0.3">
      <c r="A22" s="53" t="s">
        <v>394</v>
      </c>
      <c r="B22" s="53" t="s">
        <v>136</v>
      </c>
      <c r="C22" s="53">
        <v>1</v>
      </c>
      <c r="D22" s="53">
        <v>7</v>
      </c>
      <c r="E22" s="53" t="s">
        <v>119</v>
      </c>
    </row>
    <row r="23" spans="1:5" ht="14.25" customHeight="1" x14ac:dyDescent="0.3">
      <c r="A23" s="53" t="s">
        <v>395</v>
      </c>
      <c r="B23" s="53" t="s">
        <v>137</v>
      </c>
      <c r="C23" s="53">
        <v>1</v>
      </c>
      <c r="D23" s="53">
        <v>4</v>
      </c>
      <c r="E23" s="53" t="s">
        <v>119</v>
      </c>
    </row>
    <row r="24" spans="1:5" ht="14.25" customHeight="1" x14ac:dyDescent="0.3">
      <c r="A24" s="53" t="s">
        <v>396</v>
      </c>
      <c r="B24" s="53" t="s">
        <v>138</v>
      </c>
      <c r="C24" s="53">
        <v>1</v>
      </c>
      <c r="D24" s="53">
        <v>3</v>
      </c>
      <c r="E24" s="53" t="s">
        <v>119</v>
      </c>
    </row>
    <row r="25" spans="1:5" ht="14.25" customHeight="1" x14ac:dyDescent="0.3">
      <c r="A25" s="53" t="s">
        <v>397</v>
      </c>
      <c r="B25" s="53" t="s">
        <v>139</v>
      </c>
      <c r="C25" s="53">
        <v>1</v>
      </c>
      <c r="D25" s="53">
        <v>5</v>
      </c>
      <c r="E25" s="53" t="s">
        <v>119</v>
      </c>
    </row>
    <row r="26" spans="1:5" ht="14.25" customHeight="1" x14ac:dyDescent="0.3">
      <c r="A26" s="53" t="s">
        <v>398</v>
      </c>
      <c r="B26" s="53" t="s">
        <v>140</v>
      </c>
      <c r="C26" s="53">
        <v>2</v>
      </c>
      <c r="D26" s="53">
        <v>4</v>
      </c>
      <c r="E26" s="53" t="s">
        <v>119</v>
      </c>
    </row>
    <row r="27" spans="1:5" ht="14.25" customHeight="1" x14ac:dyDescent="0.3">
      <c r="A27" s="53" t="s">
        <v>399</v>
      </c>
      <c r="B27" s="53" t="s">
        <v>141</v>
      </c>
      <c r="C27" s="53">
        <v>2</v>
      </c>
      <c r="D27" s="53">
        <v>5</v>
      </c>
      <c r="E27" s="53" t="s">
        <v>119</v>
      </c>
    </row>
    <row r="28" spans="1:5" ht="14.25" customHeight="1" x14ac:dyDescent="0.3">
      <c r="A28" s="53" t="s">
        <v>400</v>
      </c>
      <c r="B28" s="53" t="s">
        <v>142</v>
      </c>
      <c r="C28" s="53">
        <v>2</v>
      </c>
      <c r="D28" s="53">
        <v>6</v>
      </c>
      <c r="E28" s="53" t="s">
        <v>119</v>
      </c>
    </row>
    <row r="29" spans="1:5" ht="14.25" customHeight="1" x14ac:dyDescent="0.3">
      <c r="A29" s="53" t="s">
        <v>401</v>
      </c>
      <c r="B29" s="53" t="s">
        <v>143</v>
      </c>
      <c r="C29" s="53">
        <v>2</v>
      </c>
      <c r="D29" s="53">
        <v>5</v>
      </c>
      <c r="E29" s="53" t="s">
        <v>119</v>
      </c>
    </row>
    <row r="30" spans="1:5" ht="14.25" customHeight="1" x14ac:dyDescent="0.3">
      <c r="A30" s="53" t="s">
        <v>402</v>
      </c>
      <c r="B30" s="53" t="s">
        <v>144</v>
      </c>
      <c r="C30" s="53">
        <v>2</v>
      </c>
      <c r="D30" s="53">
        <v>7</v>
      </c>
      <c r="E30" s="53" t="s">
        <v>119</v>
      </c>
    </row>
    <row r="31" spans="1:5" ht="14.25" customHeight="1" x14ac:dyDescent="0.3">
      <c r="A31" s="53" t="s">
        <v>403</v>
      </c>
      <c r="B31" s="53" t="s">
        <v>145</v>
      </c>
      <c r="C31" s="53">
        <v>2</v>
      </c>
      <c r="D31" s="53">
        <v>3</v>
      </c>
      <c r="E31" s="53" t="s">
        <v>119</v>
      </c>
    </row>
    <row r="32" spans="1:5" ht="14.25" customHeight="1" x14ac:dyDescent="0.3">
      <c r="A32" s="53" t="s">
        <v>404</v>
      </c>
      <c r="B32" s="53" t="s">
        <v>405</v>
      </c>
      <c r="C32" s="53">
        <v>3</v>
      </c>
      <c r="D32" s="53">
        <v>4</v>
      </c>
      <c r="E32" s="53" t="s">
        <v>119</v>
      </c>
    </row>
    <row r="33" spans="1:17" ht="14.25" customHeight="1" x14ac:dyDescent="0.3">
      <c r="A33" s="53" t="s">
        <v>406</v>
      </c>
      <c r="B33" s="53" t="s">
        <v>407</v>
      </c>
      <c r="C33" s="53">
        <v>3</v>
      </c>
      <c r="D33" s="53">
        <v>6</v>
      </c>
      <c r="E33" s="53" t="s">
        <v>119</v>
      </c>
    </row>
    <row r="34" spans="1:17" ht="14.25" customHeight="1" x14ac:dyDescent="0.3">
      <c r="A34" s="53" t="s">
        <v>408</v>
      </c>
      <c r="B34" s="53" t="s">
        <v>409</v>
      </c>
      <c r="C34" s="53">
        <v>3</v>
      </c>
      <c r="D34" s="53">
        <v>6</v>
      </c>
      <c r="E34" s="53" t="s">
        <v>119</v>
      </c>
    </row>
    <row r="35" spans="1:17" ht="14.25" customHeight="1" x14ac:dyDescent="0.3">
      <c r="A35" s="53" t="s">
        <v>410</v>
      </c>
      <c r="B35" s="53" t="s">
        <v>411</v>
      </c>
      <c r="C35" s="53">
        <v>3</v>
      </c>
      <c r="D35" s="53">
        <v>5</v>
      </c>
      <c r="E35" s="53" t="s">
        <v>119</v>
      </c>
    </row>
    <row r="36" spans="1:17" ht="14.25" customHeight="1" x14ac:dyDescent="0.3">
      <c r="A36" s="53" t="s">
        <v>412</v>
      </c>
      <c r="B36" s="53" t="s">
        <v>413</v>
      </c>
      <c r="C36" s="53">
        <v>3</v>
      </c>
      <c r="D36" s="53">
        <v>5</v>
      </c>
      <c r="E36" s="53" t="s">
        <v>119</v>
      </c>
    </row>
    <row r="37" spans="1:17" ht="14.25" customHeight="1" x14ac:dyDescent="0.3">
      <c r="A37" s="53" t="s">
        <v>414</v>
      </c>
      <c r="B37" s="53" t="s">
        <v>415</v>
      </c>
      <c r="C37" s="53">
        <v>3</v>
      </c>
      <c r="D37" s="53">
        <v>4</v>
      </c>
      <c r="E37" s="53" t="s">
        <v>119</v>
      </c>
    </row>
    <row r="38" spans="1:17" ht="14.25" customHeight="1" x14ac:dyDescent="0.3">
      <c r="A38" s="53" t="s">
        <v>147</v>
      </c>
      <c r="B38" s="53" t="s">
        <v>148</v>
      </c>
      <c r="C38" s="53">
        <v>3</v>
      </c>
      <c r="D38" s="53">
        <v>3</v>
      </c>
      <c r="E38" s="53" t="s">
        <v>146</v>
      </c>
    </row>
    <row r="39" spans="1:17" ht="14.25" customHeight="1" x14ac:dyDescent="0.3">
      <c r="A39" s="53" t="s">
        <v>149</v>
      </c>
      <c r="B39" s="53" t="s">
        <v>150</v>
      </c>
      <c r="C39" s="53">
        <v>3</v>
      </c>
      <c r="D39" s="53">
        <v>3</v>
      </c>
      <c r="E39" s="53" t="s">
        <v>146</v>
      </c>
    </row>
    <row r="40" spans="1:17" ht="14.25" customHeight="1" x14ac:dyDescent="0.3">
      <c r="A40" s="53" t="s">
        <v>76</v>
      </c>
      <c r="B40" s="53" t="s">
        <v>151</v>
      </c>
      <c r="C40" s="53">
        <v>3</v>
      </c>
      <c r="D40" s="53">
        <v>5</v>
      </c>
      <c r="E40" s="53" t="s">
        <v>146</v>
      </c>
    </row>
    <row r="41" spans="1:17" ht="14.25" customHeight="1" x14ac:dyDescent="0.3">
      <c r="A41" s="53" t="s">
        <v>152</v>
      </c>
      <c r="B41" s="53" t="s">
        <v>153</v>
      </c>
      <c r="C41" s="53">
        <v>3</v>
      </c>
      <c r="D41" s="53">
        <v>7</v>
      </c>
      <c r="E41" s="53" t="s">
        <v>146</v>
      </c>
    </row>
    <row r="42" spans="1:17" ht="14.25" customHeight="1" x14ac:dyDescent="0.3">
      <c r="A42" s="53" t="s">
        <v>65</v>
      </c>
      <c r="B42" s="53" t="s">
        <v>154</v>
      </c>
      <c r="C42" s="53">
        <v>3</v>
      </c>
      <c r="D42" s="53">
        <v>4</v>
      </c>
      <c r="E42" s="53" t="s">
        <v>146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17" ht="14.25" customHeight="1" x14ac:dyDescent="0.3">
      <c r="A43" s="53" t="s">
        <v>155</v>
      </c>
      <c r="B43" s="53" t="s">
        <v>156</v>
      </c>
      <c r="C43" s="53">
        <v>3</v>
      </c>
      <c r="D43" s="53">
        <v>6</v>
      </c>
      <c r="E43" s="53" t="s">
        <v>146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ht="14.25" customHeight="1" x14ac:dyDescent="0.3">
      <c r="A44" s="53" t="s">
        <v>157</v>
      </c>
      <c r="B44" s="53" t="s">
        <v>158</v>
      </c>
      <c r="C44" s="53">
        <v>3</v>
      </c>
      <c r="D44" s="53">
        <v>2</v>
      </c>
      <c r="E44" s="53" t="s">
        <v>146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ht="14.25" customHeight="1" x14ac:dyDescent="0.3">
      <c r="A45" s="53" t="s">
        <v>122</v>
      </c>
      <c r="B45" s="53" t="s">
        <v>159</v>
      </c>
      <c r="C45" s="53">
        <v>4</v>
      </c>
      <c r="D45" s="53">
        <v>4</v>
      </c>
      <c r="E45" s="53" t="s">
        <v>146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1:17" ht="14.25" customHeight="1" x14ac:dyDescent="0.3">
      <c r="A46" s="53" t="s">
        <v>160</v>
      </c>
      <c r="B46" s="53" t="s">
        <v>161</v>
      </c>
      <c r="C46" s="53">
        <v>4</v>
      </c>
      <c r="D46" s="53">
        <v>5</v>
      </c>
      <c r="E46" s="53" t="s">
        <v>146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spans="1:17" ht="14.25" customHeight="1" x14ac:dyDescent="0.3">
      <c r="A47" s="53" t="s">
        <v>162</v>
      </c>
      <c r="B47" s="53" t="s">
        <v>163</v>
      </c>
      <c r="C47" s="53">
        <v>4</v>
      </c>
      <c r="D47" s="53">
        <v>4</v>
      </c>
      <c r="E47" s="53" t="s">
        <v>146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 spans="1:17" ht="14.25" customHeight="1" x14ac:dyDescent="0.3">
      <c r="A48" s="53" t="s">
        <v>164</v>
      </c>
      <c r="B48" s="53" t="s">
        <v>165</v>
      </c>
      <c r="C48" s="53">
        <v>4</v>
      </c>
      <c r="D48" s="53">
        <v>5</v>
      </c>
      <c r="E48" s="53" t="s">
        <v>146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spans="1:17" ht="14.25" customHeight="1" x14ac:dyDescent="0.3">
      <c r="A49" s="53" t="s">
        <v>166</v>
      </c>
      <c r="B49" s="53" t="s">
        <v>167</v>
      </c>
      <c r="C49" s="53">
        <v>4</v>
      </c>
      <c r="D49" s="53">
        <v>2</v>
      </c>
      <c r="E49" s="53" t="s">
        <v>146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spans="1:17" ht="14.25" customHeight="1" x14ac:dyDescent="0.3">
      <c r="A50" s="53" t="s">
        <v>168</v>
      </c>
      <c r="B50" s="53" t="s">
        <v>169</v>
      </c>
      <c r="C50" s="53">
        <v>4</v>
      </c>
      <c r="D50" s="53">
        <v>4</v>
      </c>
      <c r="E50" s="53" t="s">
        <v>146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 spans="1:17" ht="14.25" customHeight="1" x14ac:dyDescent="0.3">
      <c r="A51" s="53" t="s">
        <v>170</v>
      </c>
      <c r="B51" s="53" t="s">
        <v>171</v>
      </c>
      <c r="C51" s="53">
        <v>4</v>
      </c>
      <c r="D51" s="53">
        <v>5</v>
      </c>
      <c r="E51" s="53" t="s">
        <v>146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 ht="14.25" customHeight="1" x14ac:dyDescent="0.3">
      <c r="A52" s="53" t="s">
        <v>172</v>
      </c>
      <c r="B52" s="53" t="s">
        <v>173</v>
      </c>
      <c r="C52" s="53">
        <v>4</v>
      </c>
      <c r="D52" s="53">
        <v>3</v>
      </c>
      <c r="E52" s="53" t="s">
        <v>146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 spans="1:17" ht="14.25" customHeight="1" x14ac:dyDescent="0.3">
      <c r="A53" s="53" t="s">
        <v>97</v>
      </c>
      <c r="B53" s="53" t="s">
        <v>174</v>
      </c>
      <c r="C53" s="53">
        <v>5</v>
      </c>
      <c r="D53" s="53">
        <v>8</v>
      </c>
      <c r="E53" s="53" t="s">
        <v>146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1:17" ht="14.25" customHeight="1" x14ac:dyDescent="0.3">
      <c r="A54" s="53" t="s">
        <v>103</v>
      </c>
      <c r="B54" s="53" t="s">
        <v>175</v>
      </c>
      <c r="C54" s="53">
        <v>5</v>
      </c>
      <c r="D54" s="53">
        <v>7</v>
      </c>
      <c r="E54" s="53" t="s">
        <v>146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 ht="14.25" customHeight="1" x14ac:dyDescent="0.3">
      <c r="A55" s="53" t="s">
        <v>176</v>
      </c>
      <c r="B55" s="53" t="s">
        <v>177</v>
      </c>
      <c r="C55" s="53">
        <v>5</v>
      </c>
      <c r="D55" s="53">
        <v>8</v>
      </c>
      <c r="E55" s="53" t="s">
        <v>146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spans="1:17" ht="14.25" customHeight="1" x14ac:dyDescent="0.3">
      <c r="A56" s="53" t="s">
        <v>72</v>
      </c>
      <c r="B56" s="53" t="s">
        <v>178</v>
      </c>
      <c r="C56" s="53">
        <v>5</v>
      </c>
      <c r="D56" s="53">
        <v>2</v>
      </c>
      <c r="E56" s="53" t="s">
        <v>146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spans="1:17" ht="14.25" customHeight="1" x14ac:dyDescent="0.3">
      <c r="A57" s="53" t="s">
        <v>179</v>
      </c>
      <c r="B57" s="53" t="s">
        <v>180</v>
      </c>
      <c r="C57" s="53">
        <v>5</v>
      </c>
      <c r="D57" s="53">
        <v>4</v>
      </c>
      <c r="E57" s="53" t="s">
        <v>146</v>
      </c>
    </row>
    <row r="58" spans="1:17" ht="14.25" customHeight="1" x14ac:dyDescent="0.3">
      <c r="A58" s="53" t="s">
        <v>416</v>
      </c>
      <c r="B58" s="53" t="s">
        <v>181</v>
      </c>
      <c r="C58" s="53">
        <v>5</v>
      </c>
      <c r="D58" s="53">
        <v>5</v>
      </c>
      <c r="E58" s="53" t="s">
        <v>146</v>
      </c>
    </row>
    <row r="59" spans="1:17" ht="14.25" customHeight="1" x14ac:dyDescent="0.3">
      <c r="A59" s="53" t="s">
        <v>182</v>
      </c>
      <c r="B59" s="53" t="s">
        <v>183</v>
      </c>
      <c r="C59" s="53">
        <v>7</v>
      </c>
      <c r="D59" s="53">
        <v>3</v>
      </c>
      <c r="E59" s="53" t="s">
        <v>146</v>
      </c>
    </row>
    <row r="60" spans="1:17" ht="14.25" customHeight="1" x14ac:dyDescent="0.3">
      <c r="A60" s="53" t="s">
        <v>184</v>
      </c>
      <c r="B60" s="53" t="s">
        <v>185</v>
      </c>
      <c r="C60" s="53">
        <v>7</v>
      </c>
      <c r="D60" s="53">
        <v>4</v>
      </c>
      <c r="E60" s="53" t="s">
        <v>146</v>
      </c>
    </row>
    <row r="61" spans="1:17" ht="14.25" customHeight="1" x14ac:dyDescent="0.3">
      <c r="A61" s="53" t="s">
        <v>186</v>
      </c>
      <c r="B61" s="53" t="s">
        <v>187</v>
      </c>
      <c r="C61" s="53">
        <v>7</v>
      </c>
      <c r="D61" s="53">
        <v>3</v>
      </c>
      <c r="E61" s="53" t="s">
        <v>146</v>
      </c>
    </row>
    <row r="62" spans="1:17" ht="14.25" customHeight="1" x14ac:dyDescent="0.3">
      <c r="A62" s="33" t="s">
        <v>188</v>
      </c>
      <c r="B62" s="53" t="s">
        <v>189</v>
      </c>
      <c r="C62" s="53">
        <v>7</v>
      </c>
      <c r="D62" s="53">
        <v>4</v>
      </c>
      <c r="E62" s="53" t="s">
        <v>146</v>
      </c>
    </row>
    <row r="63" spans="1:17" ht="14.25" customHeight="1" x14ac:dyDescent="0.3">
      <c r="A63" s="33" t="s">
        <v>190</v>
      </c>
      <c r="B63" s="53" t="s">
        <v>191</v>
      </c>
      <c r="C63" s="53">
        <v>7</v>
      </c>
      <c r="D63" s="53">
        <v>4</v>
      </c>
      <c r="E63" s="53" t="s">
        <v>146</v>
      </c>
    </row>
    <row r="64" spans="1:17" ht="14.25" customHeight="1" x14ac:dyDescent="0.3">
      <c r="A64" s="33" t="s">
        <v>192</v>
      </c>
      <c r="B64" s="53" t="s">
        <v>193</v>
      </c>
      <c r="C64" s="53">
        <v>7</v>
      </c>
      <c r="D64" s="53">
        <v>3</v>
      </c>
      <c r="E64" s="53" t="s">
        <v>146</v>
      </c>
    </row>
    <row r="65" spans="1:5" ht="14.25" customHeight="1" x14ac:dyDescent="0.3">
      <c r="A65" s="33" t="s">
        <v>194</v>
      </c>
      <c r="B65" s="53" t="s">
        <v>195</v>
      </c>
      <c r="C65" s="53">
        <v>8</v>
      </c>
      <c r="D65" s="53">
        <v>6</v>
      </c>
      <c r="E65" s="53" t="s">
        <v>146</v>
      </c>
    </row>
    <row r="66" spans="1:5" ht="14.25" customHeight="1" x14ac:dyDescent="0.3">
      <c r="A66" s="33" t="s">
        <v>196</v>
      </c>
      <c r="B66" s="53" t="s">
        <v>197</v>
      </c>
      <c r="C66" s="53">
        <v>8</v>
      </c>
      <c r="D66" s="53">
        <v>4</v>
      </c>
      <c r="E66" s="53" t="s">
        <v>146</v>
      </c>
    </row>
    <row r="67" spans="1:5" ht="14.25" customHeight="1" x14ac:dyDescent="0.3">
      <c r="A67" s="33" t="s">
        <v>92</v>
      </c>
      <c r="B67" s="53" t="s">
        <v>198</v>
      </c>
      <c r="C67" s="53">
        <v>8</v>
      </c>
      <c r="D67" s="53">
        <v>7</v>
      </c>
      <c r="E67" s="53" t="s">
        <v>146</v>
      </c>
    </row>
    <row r="68" spans="1:5" ht="14.25" customHeight="1" x14ac:dyDescent="0.3">
      <c r="A68" s="53" t="s">
        <v>199</v>
      </c>
      <c r="B68" s="53" t="s">
        <v>200</v>
      </c>
      <c r="C68" s="53">
        <v>8</v>
      </c>
      <c r="D68" s="53">
        <v>3</v>
      </c>
      <c r="E68" s="53" t="s">
        <v>146</v>
      </c>
    </row>
    <row r="69" spans="1:5" ht="14.25" customHeight="1" x14ac:dyDescent="0.3">
      <c r="A69" s="53" t="s">
        <v>201</v>
      </c>
      <c r="B69" s="53" t="s">
        <v>202</v>
      </c>
      <c r="C69" s="53">
        <v>9</v>
      </c>
      <c r="D69" s="53">
        <v>6</v>
      </c>
      <c r="E69" s="53" t="s">
        <v>146</v>
      </c>
    </row>
    <row r="70" spans="1:5" ht="14.25" customHeight="1" x14ac:dyDescent="0.3">
      <c r="A70" s="53" t="s">
        <v>203</v>
      </c>
      <c r="B70" s="53" t="s">
        <v>204</v>
      </c>
      <c r="C70" s="53">
        <v>9</v>
      </c>
      <c r="D70" s="53">
        <v>4</v>
      </c>
      <c r="E70" s="53" t="s">
        <v>146</v>
      </c>
    </row>
    <row r="71" spans="1:5" ht="14.25" customHeight="1" x14ac:dyDescent="0.3">
      <c r="A71" s="53" t="s">
        <v>205</v>
      </c>
      <c r="B71" s="53" t="s">
        <v>206</v>
      </c>
      <c r="C71" s="53">
        <v>9</v>
      </c>
      <c r="D71" s="53">
        <v>3</v>
      </c>
      <c r="E71" s="53" t="s">
        <v>146</v>
      </c>
    </row>
    <row r="72" spans="1:5" ht="14.25" customHeight="1" x14ac:dyDescent="0.3">
      <c r="A72" s="53" t="s">
        <v>98</v>
      </c>
      <c r="B72" s="53" t="s">
        <v>207</v>
      </c>
      <c r="C72" s="53">
        <v>9</v>
      </c>
      <c r="D72" s="53">
        <v>6</v>
      </c>
      <c r="E72" s="53" t="s">
        <v>146</v>
      </c>
    </row>
    <row r="73" spans="1:5" ht="14.25" customHeight="1" x14ac:dyDescent="0.3">
      <c r="A73" s="53" t="s">
        <v>208</v>
      </c>
      <c r="B73" s="53" t="s">
        <v>209</v>
      </c>
      <c r="C73" s="53">
        <v>9</v>
      </c>
      <c r="D73" s="53">
        <v>4</v>
      </c>
      <c r="E73" s="53" t="s">
        <v>146</v>
      </c>
    </row>
    <row r="74" spans="1:5" ht="14.25" customHeight="1" x14ac:dyDescent="0.3">
      <c r="A74" s="53" t="s">
        <v>210</v>
      </c>
      <c r="B74" s="53" t="s">
        <v>211</v>
      </c>
      <c r="C74" s="53">
        <v>9</v>
      </c>
      <c r="D74" s="53">
        <v>2</v>
      </c>
      <c r="E74" s="53" t="s">
        <v>146</v>
      </c>
    </row>
    <row r="75" spans="1:5" ht="14.25" customHeight="1" x14ac:dyDescent="0.3">
      <c r="A75" s="53" t="s">
        <v>212</v>
      </c>
      <c r="B75" s="53" t="s">
        <v>213</v>
      </c>
      <c r="C75" s="53">
        <v>10</v>
      </c>
      <c r="D75" s="53">
        <v>4</v>
      </c>
      <c r="E75" s="53" t="s">
        <v>146</v>
      </c>
    </row>
    <row r="76" spans="1:5" ht="14.25" customHeight="1" x14ac:dyDescent="0.3">
      <c r="A76" s="53" t="s">
        <v>214</v>
      </c>
      <c r="B76" s="53" t="s">
        <v>215</v>
      </c>
      <c r="C76" s="53">
        <v>10</v>
      </c>
      <c r="D76" s="53">
        <v>7</v>
      </c>
      <c r="E76" s="53" t="s">
        <v>146</v>
      </c>
    </row>
    <row r="77" spans="1:5" ht="14.25" customHeight="1" x14ac:dyDescent="0.3">
      <c r="A77" s="53" t="s">
        <v>100</v>
      </c>
      <c r="B77" s="53" t="s">
        <v>216</v>
      </c>
      <c r="C77" s="53">
        <v>10</v>
      </c>
      <c r="D77" s="53">
        <v>7</v>
      </c>
      <c r="E77" s="53" t="s">
        <v>146</v>
      </c>
    </row>
    <row r="78" spans="1:5" ht="14.25" customHeight="1" x14ac:dyDescent="0.3">
      <c r="A78" s="53" t="s">
        <v>166</v>
      </c>
      <c r="B78" s="53" t="s">
        <v>217</v>
      </c>
      <c r="C78" s="53">
        <v>10</v>
      </c>
      <c r="D78" s="53">
        <v>2</v>
      </c>
      <c r="E78" s="53" t="s">
        <v>146</v>
      </c>
    </row>
    <row r="79" spans="1:5" ht="14.25" customHeight="1" x14ac:dyDescent="0.3">
      <c r="A79" s="53" t="s">
        <v>218</v>
      </c>
      <c r="B79" s="53" t="s">
        <v>219</v>
      </c>
      <c r="C79" s="53">
        <v>10</v>
      </c>
      <c r="D79" s="53">
        <v>2</v>
      </c>
      <c r="E79" s="53" t="s">
        <v>146</v>
      </c>
    </row>
    <row r="80" spans="1:5" ht="14.25" customHeight="1" x14ac:dyDescent="0.3">
      <c r="A80" s="53" t="s">
        <v>368</v>
      </c>
      <c r="B80" s="53" t="s">
        <v>220</v>
      </c>
      <c r="C80" s="53">
        <v>1</v>
      </c>
      <c r="D80" s="53">
        <v>4</v>
      </c>
      <c r="E80" s="53" t="s">
        <v>119</v>
      </c>
    </row>
    <row r="81" spans="1:5" ht="14.25" customHeight="1" x14ac:dyDescent="0.3">
      <c r="A81" s="53" t="s">
        <v>369</v>
      </c>
      <c r="B81" s="53" t="s">
        <v>221</v>
      </c>
      <c r="C81" s="53">
        <v>1</v>
      </c>
      <c r="D81" s="53">
        <v>7</v>
      </c>
      <c r="E81" s="53" t="s">
        <v>119</v>
      </c>
    </row>
    <row r="82" spans="1:5" ht="14.25" customHeight="1" x14ac:dyDescent="0.3">
      <c r="A82" s="53" t="s">
        <v>417</v>
      </c>
      <c r="B82" s="53" t="s">
        <v>222</v>
      </c>
      <c r="C82" s="53">
        <v>1</v>
      </c>
      <c r="D82" s="53">
        <v>4</v>
      </c>
      <c r="E82" s="53" t="s">
        <v>119</v>
      </c>
    </row>
    <row r="83" spans="1:5" ht="14.25" customHeight="1" x14ac:dyDescent="0.3">
      <c r="A83" s="53" t="s">
        <v>370</v>
      </c>
      <c r="B83" s="53" t="s">
        <v>223</v>
      </c>
      <c r="C83" s="53">
        <v>1</v>
      </c>
      <c r="D83" s="53">
        <v>6</v>
      </c>
      <c r="E83" s="53" t="s">
        <v>119</v>
      </c>
    </row>
    <row r="84" spans="1:5" ht="14.25" customHeight="1" x14ac:dyDescent="0.3">
      <c r="A84" s="53" t="s">
        <v>418</v>
      </c>
      <c r="B84" s="53" t="s">
        <v>224</v>
      </c>
      <c r="C84" s="53">
        <v>1</v>
      </c>
      <c r="D84" s="53">
        <v>4</v>
      </c>
      <c r="E84" s="53" t="s">
        <v>119</v>
      </c>
    </row>
    <row r="85" spans="1:5" ht="14.25" customHeight="1" x14ac:dyDescent="0.3">
      <c r="A85" s="53" t="s">
        <v>373</v>
      </c>
      <c r="B85" s="53" t="s">
        <v>225</v>
      </c>
      <c r="C85" s="53">
        <v>1</v>
      </c>
      <c r="D85" s="53">
        <v>5</v>
      </c>
      <c r="E85" s="53" t="s">
        <v>119</v>
      </c>
    </row>
    <row r="86" spans="1:5" ht="14.25" customHeight="1" x14ac:dyDescent="0.3">
      <c r="A86" s="53" t="s">
        <v>63</v>
      </c>
      <c r="B86" s="53" t="s">
        <v>226</v>
      </c>
      <c r="C86" s="53">
        <v>2</v>
      </c>
      <c r="D86" s="53">
        <v>4</v>
      </c>
      <c r="E86" s="53" t="s">
        <v>119</v>
      </c>
    </row>
    <row r="87" spans="1:5" ht="14.25" customHeight="1" x14ac:dyDescent="0.3">
      <c r="A87" s="53" t="s">
        <v>375</v>
      </c>
      <c r="B87" s="53" t="s">
        <v>227</v>
      </c>
      <c r="C87" s="53">
        <v>2</v>
      </c>
      <c r="D87" s="53">
        <v>6</v>
      </c>
      <c r="E87" s="53" t="s">
        <v>119</v>
      </c>
    </row>
    <row r="88" spans="1:5" ht="14.25" customHeight="1" x14ac:dyDescent="0.3">
      <c r="A88" s="53" t="s">
        <v>419</v>
      </c>
      <c r="B88" s="53" t="s">
        <v>228</v>
      </c>
      <c r="C88" s="53">
        <v>2</v>
      </c>
      <c r="D88" s="53">
        <v>5</v>
      </c>
      <c r="E88" s="53" t="s">
        <v>119</v>
      </c>
    </row>
    <row r="89" spans="1:5" ht="14.25" customHeight="1" x14ac:dyDescent="0.3">
      <c r="A89" s="53" t="s">
        <v>377</v>
      </c>
      <c r="B89" s="53" t="s">
        <v>229</v>
      </c>
      <c r="C89" s="53">
        <v>2</v>
      </c>
      <c r="D89" s="53">
        <v>5</v>
      </c>
      <c r="E89" s="53" t="s">
        <v>119</v>
      </c>
    </row>
    <row r="90" spans="1:5" ht="14.25" customHeight="1" x14ac:dyDescent="0.3">
      <c r="A90" s="53" t="s">
        <v>420</v>
      </c>
      <c r="B90" s="53" t="s">
        <v>230</v>
      </c>
      <c r="C90" s="53">
        <v>2</v>
      </c>
      <c r="D90" s="53">
        <v>5</v>
      </c>
      <c r="E90" s="53" t="s">
        <v>119</v>
      </c>
    </row>
    <row r="91" spans="1:5" ht="14.25" customHeight="1" x14ac:dyDescent="0.3">
      <c r="A91" s="53" t="s">
        <v>421</v>
      </c>
      <c r="B91" s="53" t="s">
        <v>231</v>
      </c>
      <c r="C91" s="53">
        <v>2</v>
      </c>
      <c r="D91" s="53">
        <v>5</v>
      </c>
      <c r="E91" s="53" t="s">
        <v>119</v>
      </c>
    </row>
    <row r="92" spans="1:5" ht="14.25" customHeight="1" x14ac:dyDescent="0.3">
      <c r="A92" s="53" t="s">
        <v>422</v>
      </c>
      <c r="B92" s="53" t="s">
        <v>423</v>
      </c>
      <c r="C92" s="53">
        <v>3</v>
      </c>
      <c r="D92" s="53">
        <v>4</v>
      </c>
      <c r="E92" s="53" t="s">
        <v>119</v>
      </c>
    </row>
    <row r="93" spans="1:5" ht="14.25" customHeight="1" x14ac:dyDescent="0.3">
      <c r="A93" s="53" t="s">
        <v>424</v>
      </c>
      <c r="B93" s="53" t="s">
        <v>425</v>
      </c>
      <c r="C93" s="53">
        <v>3</v>
      </c>
      <c r="D93" s="53">
        <v>4</v>
      </c>
      <c r="E93" s="53" t="s">
        <v>119</v>
      </c>
    </row>
    <row r="94" spans="1:5" ht="14.25" customHeight="1" x14ac:dyDescent="0.3">
      <c r="A94" s="53" t="s">
        <v>426</v>
      </c>
      <c r="B94" s="53" t="s">
        <v>427</v>
      </c>
      <c r="C94" s="53">
        <v>3</v>
      </c>
      <c r="D94" s="53">
        <v>6</v>
      </c>
      <c r="E94" s="53" t="s">
        <v>119</v>
      </c>
    </row>
    <row r="95" spans="1:5" ht="14.25" customHeight="1" x14ac:dyDescent="0.3">
      <c r="A95" s="53" t="s">
        <v>428</v>
      </c>
      <c r="B95" s="53" t="s">
        <v>429</v>
      </c>
      <c r="C95" s="53">
        <v>3</v>
      </c>
      <c r="D95" s="53">
        <v>5</v>
      </c>
      <c r="E95" s="53" t="s">
        <v>119</v>
      </c>
    </row>
    <row r="96" spans="1:5" ht="14.25" customHeight="1" x14ac:dyDescent="0.3">
      <c r="A96" s="53" t="s">
        <v>430</v>
      </c>
      <c r="B96" s="53" t="s">
        <v>431</v>
      </c>
      <c r="C96" s="53">
        <v>3</v>
      </c>
      <c r="D96" s="53">
        <v>7</v>
      </c>
      <c r="E96" s="53" t="s">
        <v>119</v>
      </c>
    </row>
    <row r="97" spans="1:5" ht="14.25" customHeight="1" x14ac:dyDescent="0.3">
      <c r="A97" s="53" t="s">
        <v>432</v>
      </c>
      <c r="B97" s="53" t="s">
        <v>433</v>
      </c>
      <c r="C97" s="53">
        <v>3</v>
      </c>
      <c r="D97" s="53">
        <v>4</v>
      </c>
      <c r="E97" s="53" t="s">
        <v>119</v>
      </c>
    </row>
    <row r="98" spans="1:5" ht="14.25" customHeight="1" x14ac:dyDescent="0.3">
      <c r="A98" s="53" t="s">
        <v>16</v>
      </c>
      <c r="B98" s="53" t="s">
        <v>232</v>
      </c>
      <c r="C98" s="53">
        <v>3</v>
      </c>
      <c r="D98" s="53">
        <v>4</v>
      </c>
      <c r="E98" s="53" t="s">
        <v>146</v>
      </c>
    </row>
    <row r="99" spans="1:5" ht="14.25" customHeight="1" x14ac:dyDescent="0.3">
      <c r="A99" s="53" t="s">
        <v>233</v>
      </c>
      <c r="B99" s="53" t="s">
        <v>234</v>
      </c>
      <c r="C99" s="53">
        <v>3</v>
      </c>
      <c r="D99" s="53">
        <v>6</v>
      </c>
      <c r="E99" s="53" t="s">
        <v>146</v>
      </c>
    </row>
    <row r="100" spans="1:5" ht="14.25" customHeight="1" x14ac:dyDescent="0.3">
      <c r="A100" s="53" t="s">
        <v>235</v>
      </c>
      <c r="B100" s="53" t="s">
        <v>236</v>
      </c>
      <c r="C100" s="53">
        <v>3</v>
      </c>
      <c r="D100" s="53">
        <v>6</v>
      </c>
      <c r="E100" s="53" t="s">
        <v>146</v>
      </c>
    </row>
    <row r="101" spans="1:5" ht="14.25" customHeight="1" x14ac:dyDescent="0.3">
      <c r="A101" s="53" t="s">
        <v>84</v>
      </c>
      <c r="B101" s="53" t="s">
        <v>237</v>
      </c>
      <c r="C101" s="53">
        <v>3</v>
      </c>
      <c r="D101" s="53">
        <v>5</v>
      </c>
      <c r="E101" s="53" t="s">
        <v>146</v>
      </c>
    </row>
    <row r="102" spans="1:5" ht="14.25" customHeight="1" x14ac:dyDescent="0.3">
      <c r="A102" s="53" t="s">
        <v>238</v>
      </c>
      <c r="B102" s="53" t="s">
        <v>239</v>
      </c>
      <c r="C102" s="53">
        <v>3</v>
      </c>
      <c r="D102" s="53">
        <v>6</v>
      </c>
      <c r="E102" s="53" t="s">
        <v>146</v>
      </c>
    </row>
    <row r="103" spans="1:5" ht="14.25" customHeight="1" x14ac:dyDescent="0.3">
      <c r="A103" s="53" t="s">
        <v>166</v>
      </c>
      <c r="B103" s="53" t="s">
        <v>240</v>
      </c>
      <c r="C103" s="53">
        <v>3</v>
      </c>
      <c r="D103" s="53">
        <v>2</v>
      </c>
      <c r="E103" s="53" t="s">
        <v>146</v>
      </c>
    </row>
    <row r="104" spans="1:5" ht="14.25" customHeight="1" x14ac:dyDescent="0.3">
      <c r="A104" s="53" t="s">
        <v>157</v>
      </c>
      <c r="B104" s="53" t="s">
        <v>241</v>
      </c>
      <c r="C104" s="53">
        <v>3</v>
      </c>
      <c r="D104" s="53">
        <v>2</v>
      </c>
      <c r="E104" s="53" t="s">
        <v>146</v>
      </c>
    </row>
    <row r="105" spans="1:5" ht="14.25" customHeight="1" x14ac:dyDescent="0.3">
      <c r="A105" s="53" t="s">
        <v>130</v>
      </c>
      <c r="B105" s="53" t="s">
        <v>242</v>
      </c>
      <c r="C105" s="53">
        <v>4</v>
      </c>
      <c r="D105" s="53">
        <v>5</v>
      </c>
      <c r="E105" s="53" t="s">
        <v>146</v>
      </c>
    </row>
    <row r="106" spans="1:5" ht="14.25" customHeight="1" x14ac:dyDescent="0.3">
      <c r="A106" s="53" t="s">
        <v>243</v>
      </c>
      <c r="B106" s="53" t="s">
        <v>244</v>
      </c>
      <c r="C106" s="53">
        <v>4</v>
      </c>
      <c r="D106" s="53">
        <v>6</v>
      </c>
      <c r="E106" s="53" t="s">
        <v>146</v>
      </c>
    </row>
    <row r="107" spans="1:5" ht="14.25" customHeight="1" x14ac:dyDescent="0.3">
      <c r="A107" s="53" t="s">
        <v>245</v>
      </c>
      <c r="B107" s="53" t="s">
        <v>246</v>
      </c>
      <c r="C107" s="53">
        <v>4</v>
      </c>
      <c r="D107" s="53">
        <v>6</v>
      </c>
      <c r="E107" s="53" t="s">
        <v>146</v>
      </c>
    </row>
    <row r="108" spans="1:5" ht="14.25" customHeight="1" x14ac:dyDescent="0.3">
      <c r="A108" s="53" t="s">
        <v>247</v>
      </c>
      <c r="B108" s="53" t="s">
        <v>248</v>
      </c>
      <c r="C108" s="53">
        <v>4</v>
      </c>
      <c r="D108" s="53">
        <v>6</v>
      </c>
      <c r="E108" s="53" t="s">
        <v>146</v>
      </c>
    </row>
    <row r="109" spans="1:5" ht="14.25" customHeight="1" x14ac:dyDescent="0.3">
      <c r="A109" s="53" t="s">
        <v>249</v>
      </c>
      <c r="B109" s="53" t="s">
        <v>250</v>
      </c>
      <c r="C109" s="53">
        <v>4</v>
      </c>
      <c r="D109" s="53">
        <v>5</v>
      </c>
      <c r="E109" s="53" t="s">
        <v>146</v>
      </c>
    </row>
    <row r="110" spans="1:5" ht="14.25" customHeight="1" x14ac:dyDescent="0.3">
      <c r="A110" s="53" t="s">
        <v>172</v>
      </c>
      <c r="B110" s="53" t="s">
        <v>251</v>
      </c>
      <c r="C110" s="53">
        <v>4</v>
      </c>
      <c r="D110" s="53">
        <v>3</v>
      </c>
      <c r="E110" s="53" t="s">
        <v>146</v>
      </c>
    </row>
    <row r="111" spans="1:5" ht="14.25" customHeight="1" x14ac:dyDescent="0.3">
      <c r="A111" s="53" t="s">
        <v>252</v>
      </c>
      <c r="B111" s="53" t="s">
        <v>253</v>
      </c>
      <c r="C111" s="53">
        <v>5</v>
      </c>
      <c r="D111" s="53">
        <v>6</v>
      </c>
      <c r="E111" s="53" t="s">
        <v>146</v>
      </c>
    </row>
    <row r="112" spans="1:5" ht="14.25" customHeight="1" x14ac:dyDescent="0.3">
      <c r="A112" s="53" t="s">
        <v>60</v>
      </c>
      <c r="B112" s="53" t="s">
        <v>254</v>
      </c>
      <c r="C112" s="53">
        <v>5</v>
      </c>
      <c r="D112" s="53">
        <v>6</v>
      </c>
      <c r="E112" s="53" t="s">
        <v>146</v>
      </c>
    </row>
    <row r="113" spans="1:5" ht="14.25" customHeight="1" x14ac:dyDescent="0.3">
      <c r="A113" s="53" t="s">
        <v>85</v>
      </c>
      <c r="B113" s="53" t="s">
        <v>255</v>
      </c>
      <c r="C113" s="53">
        <v>5</v>
      </c>
      <c r="D113" s="53">
        <v>6</v>
      </c>
      <c r="E113" s="53" t="s">
        <v>146</v>
      </c>
    </row>
    <row r="114" spans="1:5" ht="14.25" customHeight="1" x14ac:dyDescent="0.3">
      <c r="A114" s="53" t="s">
        <v>90</v>
      </c>
      <c r="B114" s="53" t="s">
        <v>256</v>
      </c>
      <c r="C114" s="53">
        <v>5</v>
      </c>
      <c r="D114" s="53">
        <v>6</v>
      </c>
      <c r="E114" s="53" t="s">
        <v>146</v>
      </c>
    </row>
    <row r="115" spans="1:5" ht="14.25" customHeight="1" x14ac:dyDescent="0.3">
      <c r="A115" s="53" t="s">
        <v>72</v>
      </c>
      <c r="B115" s="53" t="s">
        <v>257</v>
      </c>
      <c r="C115" s="53">
        <v>5</v>
      </c>
      <c r="D115" s="53">
        <v>2</v>
      </c>
      <c r="E115" s="53" t="s">
        <v>146</v>
      </c>
    </row>
    <row r="116" spans="1:5" ht="14.25" customHeight="1" x14ac:dyDescent="0.3">
      <c r="A116" s="53" t="s">
        <v>434</v>
      </c>
      <c r="B116" s="53" t="s">
        <v>258</v>
      </c>
      <c r="C116" s="53">
        <v>5</v>
      </c>
      <c r="D116" s="53">
        <v>5</v>
      </c>
      <c r="E116" s="53" t="s">
        <v>146</v>
      </c>
    </row>
    <row r="117" spans="1:5" ht="14.25" customHeight="1" x14ac:dyDescent="0.3">
      <c r="A117" s="53" t="s">
        <v>259</v>
      </c>
      <c r="B117" s="53" t="s">
        <v>260</v>
      </c>
      <c r="C117" s="53">
        <v>7</v>
      </c>
      <c r="D117" s="53">
        <v>4</v>
      </c>
      <c r="E117" s="53" t="s">
        <v>146</v>
      </c>
    </row>
    <row r="118" spans="1:5" ht="14.25" customHeight="1" x14ac:dyDescent="0.3">
      <c r="A118" s="53" t="s">
        <v>261</v>
      </c>
      <c r="B118" s="53" t="s">
        <v>262</v>
      </c>
      <c r="C118" s="53">
        <v>7</v>
      </c>
      <c r="D118" s="53">
        <v>5</v>
      </c>
      <c r="E118" s="53" t="s">
        <v>146</v>
      </c>
    </row>
    <row r="119" spans="1:5" ht="14.25" customHeight="1" x14ac:dyDescent="0.3">
      <c r="A119" s="53" t="s">
        <v>263</v>
      </c>
      <c r="B119" s="53" t="s">
        <v>264</v>
      </c>
      <c r="C119" s="53">
        <v>7</v>
      </c>
      <c r="D119" s="53">
        <v>5</v>
      </c>
      <c r="E119" s="53" t="s">
        <v>146</v>
      </c>
    </row>
    <row r="120" spans="1:5" ht="14.25" customHeight="1" x14ac:dyDescent="0.3">
      <c r="A120" s="53" t="s">
        <v>79</v>
      </c>
      <c r="B120" s="53" t="s">
        <v>265</v>
      </c>
      <c r="C120" s="53">
        <v>7</v>
      </c>
      <c r="D120" s="53">
        <v>4</v>
      </c>
      <c r="E120" s="53" t="s">
        <v>146</v>
      </c>
    </row>
    <row r="121" spans="1:5" ht="14.25" customHeight="1" x14ac:dyDescent="0.3">
      <c r="A121" s="53" t="s">
        <v>435</v>
      </c>
      <c r="B121" s="53" t="s">
        <v>266</v>
      </c>
      <c r="C121" s="53">
        <v>7</v>
      </c>
      <c r="D121" s="53">
        <v>3</v>
      </c>
      <c r="E121" s="53" t="s">
        <v>146</v>
      </c>
    </row>
    <row r="122" spans="1:5" ht="14.25" customHeight="1" x14ac:dyDescent="0.3">
      <c r="A122" s="53" t="s">
        <v>267</v>
      </c>
      <c r="B122" s="53" t="s">
        <v>268</v>
      </c>
      <c r="C122" s="53">
        <v>8</v>
      </c>
      <c r="D122" s="53">
        <v>4</v>
      </c>
      <c r="E122" s="53" t="s">
        <v>146</v>
      </c>
    </row>
    <row r="123" spans="1:5" ht="14.25" customHeight="1" x14ac:dyDescent="0.3">
      <c r="A123" s="53" t="s">
        <v>81</v>
      </c>
      <c r="B123" s="53" t="s">
        <v>269</v>
      </c>
      <c r="C123" s="53">
        <v>8</v>
      </c>
      <c r="D123" s="53">
        <v>5</v>
      </c>
      <c r="E123" s="53" t="s">
        <v>146</v>
      </c>
    </row>
    <row r="124" spans="1:5" ht="14.25" customHeight="1" x14ac:dyDescent="0.3">
      <c r="A124" s="53" t="s">
        <v>270</v>
      </c>
      <c r="B124" s="53" t="s">
        <v>271</v>
      </c>
      <c r="C124" s="53">
        <v>8</v>
      </c>
      <c r="D124" s="53">
        <v>5</v>
      </c>
      <c r="E124" s="53" t="s">
        <v>146</v>
      </c>
    </row>
    <row r="125" spans="1:5" ht="14.25" customHeight="1" x14ac:dyDescent="0.3">
      <c r="A125" s="53" t="s">
        <v>272</v>
      </c>
      <c r="B125" s="53" t="s">
        <v>273</v>
      </c>
      <c r="C125" s="53">
        <v>8</v>
      </c>
      <c r="D125" s="53">
        <v>4</v>
      </c>
      <c r="E125" s="53" t="s">
        <v>146</v>
      </c>
    </row>
    <row r="126" spans="1:5" ht="14.25" customHeight="1" x14ac:dyDescent="0.3">
      <c r="A126" s="53" t="s">
        <v>436</v>
      </c>
      <c r="B126" s="53" t="s">
        <v>274</v>
      </c>
      <c r="C126" s="53">
        <v>8</v>
      </c>
      <c r="D126" s="53">
        <v>3</v>
      </c>
      <c r="E126" s="53" t="s">
        <v>146</v>
      </c>
    </row>
    <row r="127" spans="1:5" ht="14.25" customHeight="1" x14ac:dyDescent="0.3">
      <c r="A127" s="53" t="s">
        <v>275</v>
      </c>
      <c r="B127" s="53" t="s">
        <v>276</v>
      </c>
      <c r="C127" s="53">
        <v>9</v>
      </c>
      <c r="D127" s="53">
        <v>5</v>
      </c>
      <c r="E127" s="53" t="s">
        <v>146</v>
      </c>
    </row>
    <row r="128" spans="1:5" ht="14.25" customHeight="1" x14ac:dyDescent="0.3">
      <c r="A128" s="53" t="s">
        <v>277</v>
      </c>
      <c r="B128" s="53" t="s">
        <v>278</v>
      </c>
      <c r="C128" s="53">
        <v>9</v>
      </c>
      <c r="D128" s="53">
        <v>4</v>
      </c>
      <c r="E128" s="53" t="s">
        <v>146</v>
      </c>
    </row>
    <row r="129" spans="1:5" ht="14.25" customHeight="1" x14ac:dyDescent="0.3">
      <c r="A129" s="53" t="s">
        <v>279</v>
      </c>
      <c r="B129" s="53" t="s">
        <v>280</v>
      </c>
      <c r="C129" s="53">
        <v>9</v>
      </c>
      <c r="D129" s="53">
        <v>4</v>
      </c>
      <c r="E129" s="53" t="s">
        <v>146</v>
      </c>
    </row>
    <row r="130" spans="1:5" ht="14.25" customHeight="1" x14ac:dyDescent="0.3">
      <c r="A130" s="53" t="s">
        <v>281</v>
      </c>
      <c r="B130" s="53" t="s">
        <v>282</v>
      </c>
      <c r="C130" s="53">
        <v>9</v>
      </c>
      <c r="D130" s="53">
        <v>3</v>
      </c>
      <c r="E130" s="53" t="s">
        <v>146</v>
      </c>
    </row>
    <row r="131" spans="1:5" ht="14.25" customHeight="1" x14ac:dyDescent="0.3">
      <c r="A131" s="53" t="s">
        <v>283</v>
      </c>
      <c r="B131" s="53" t="s">
        <v>284</v>
      </c>
      <c r="C131" s="53">
        <v>9</v>
      </c>
      <c r="D131" s="53">
        <v>3</v>
      </c>
      <c r="E131" s="53" t="s">
        <v>146</v>
      </c>
    </row>
    <row r="132" spans="1:5" ht="14.25" customHeight="1" x14ac:dyDescent="0.3">
      <c r="A132" s="53" t="s">
        <v>210</v>
      </c>
      <c r="B132" s="53" t="s">
        <v>285</v>
      </c>
      <c r="C132" s="53">
        <v>9</v>
      </c>
      <c r="D132" s="53">
        <v>2</v>
      </c>
      <c r="E132" s="53" t="s">
        <v>146</v>
      </c>
    </row>
    <row r="133" spans="1:5" ht="14.25" customHeight="1" x14ac:dyDescent="0.3">
      <c r="A133" s="53" t="s">
        <v>286</v>
      </c>
      <c r="B133" s="53" t="s">
        <v>287</v>
      </c>
      <c r="C133" s="53">
        <v>10</v>
      </c>
      <c r="D133" s="53">
        <v>5</v>
      </c>
      <c r="E133" s="53" t="s">
        <v>146</v>
      </c>
    </row>
    <row r="134" spans="1:5" ht="14.25" customHeight="1" x14ac:dyDescent="0.3">
      <c r="A134" s="53" t="s">
        <v>288</v>
      </c>
      <c r="B134" s="53" t="s">
        <v>289</v>
      </c>
      <c r="C134" s="53">
        <v>10</v>
      </c>
      <c r="D134" s="53">
        <v>5</v>
      </c>
      <c r="E134" s="53" t="s">
        <v>146</v>
      </c>
    </row>
    <row r="135" spans="1:5" ht="14.25" customHeight="1" x14ac:dyDescent="0.3">
      <c r="A135" s="53" t="s">
        <v>290</v>
      </c>
      <c r="B135" s="53" t="s">
        <v>291</v>
      </c>
      <c r="C135" s="53">
        <v>10</v>
      </c>
      <c r="D135" s="53">
        <v>7</v>
      </c>
      <c r="E135" s="53" t="s">
        <v>146</v>
      </c>
    </row>
    <row r="136" spans="1:5" ht="14.25" customHeight="1" x14ac:dyDescent="0.3">
      <c r="A136" s="53" t="s">
        <v>292</v>
      </c>
      <c r="B136" s="53" t="s">
        <v>293</v>
      </c>
      <c r="C136" s="53">
        <v>10</v>
      </c>
      <c r="D136" s="53">
        <v>2</v>
      </c>
      <c r="E136" s="53" t="s">
        <v>146</v>
      </c>
    </row>
    <row r="137" spans="1:5" ht="14.25" customHeight="1" x14ac:dyDescent="0.3">
      <c r="A137" s="53" t="s">
        <v>218</v>
      </c>
      <c r="B137" s="53" t="s">
        <v>294</v>
      </c>
      <c r="C137" s="53">
        <v>10</v>
      </c>
      <c r="D137" s="53">
        <v>2</v>
      </c>
      <c r="E137" s="53" t="s">
        <v>146</v>
      </c>
    </row>
    <row r="138" spans="1:5" ht="14.25" customHeight="1" x14ac:dyDescent="0.3">
      <c r="A138" t="s">
        <v>361</v>
      </c>
      <c r="B138" t="s">
        <v>363</v>
      </c>
      <c r="C138">
        <v>5</v>
      </c>
      <c r="D138">
        <v>4</v>
      </c>
    </row>
    <row r="139" spans="1:5" ht="14.25" customHeight="1" x14ac:dyDescent="0.3">
      <c r="A139" t="s">
        <v>362</v>
      </c>
      <c r="B139" t="s">
        <v>363</v>
      </c>
      <c r="C139">
        <v>5</v>
      </c>
      <c r="D139">
        <v>3</v>
      </c>
    </row>
    <row r="140" spans="1:5" ht="14.25" customHeight="1" x14ac:dyDescent="0.3">
      <c r="A140" t="s">
        <v>364</v>
      </c>
      <c r="B140" t="s">
        <v>363</v>
      </c>
      <c r="C140">
        <v>5</v>
      </c>
      <c r="D140">
        <v>7</v>
      </c>
    </row>
    <row r="141" spans="1:5" ht="14.25" customHeight="1" x14ac:dyDescent="0.3">
      <c r="A141" t="s">
        <v>21</v>
      </c>
      <c r="C141">
        <v>0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12</vt:i4>
      </vt:variant>
    </vt:vector>
  </HeadingPairs>
  <TitlesOfParts>
    <vt:vector size="29" baseType="lpstr">
      <vt:lpstr>BASTIDA MIRANDA JULIO</vt:lpstr>
      <vt:lpstr>CASAS GOMEZ VICTOR MANUEL</vt:lpstr>
      <vt:lpstr>DESCHAMPS SOLORZANO JOSÉ ALEJAN</vt:lpstr>
      <vt:lpstr>ESPINOSA JIMÉNEZ MARÍA MARGARIT</vt:lpstr>
      <vt:lpstr>GARCÍA ROMERO LUIS ÁNGEL</vt:lpstr>
      <vt:lpstr>HERNANDEZ JIMENEZ ARTURO</vt:lpstr>
      <vt:lpstr>HIDALGO BAEZA MARIA DEL CARMEN</vt:lpstr>
      <vt:lpstr>MARQUEZ SÁNCHEZ DANIEL MAURICIO</vt:lpstr>
      <vt:lpstr>MONDRAGON DIEGO JOSE LUIS</vt:lpstr>
      <vt:lpstr>MORENO LOAIZA CAROLINA</vt:lpstr>
      <vt:lpstr>OLMOS ZARIÑAN GRISELDA</vt:lpstr>
      <vt:lpstr>TELLEZ VELÁZQUEZ SERGIO</vt:lpstr>
      <vt:lpstr>z_1_PLANTILLA</vt:lpstr>
      <vt:lpstr>z_2_Maestros</vt:lpstr>
      <vt:lpstr>z_3_Materias</vt:lpstr>
      <vt:lpstr>z_4_FOR-DE LLENADO</vt:lpstr>
      <vt:lpstr>z_4_Materias2</vt:lpstr>
      <vt:lpstr>'BASTIDA MIRANDA JULIO'!Área_de_impresión</vt:lpstr>
      <vt:lpstr>'CASAS GOMEZ VICTOR MANUEL'!Área_de_impresión</vt:lpstr>
      <vt:lpstr>'DESCHAMPS SOLORZANO JOSÉ ALEJAN'!Área_de_impresión</vt:lpstr>
      <vt:lpstr>'ESPINOSA JIMÉNEZ MARÍA MARGARIT'!Área_de_impresión</vt:lpstr>
      <vt:lpstr>'GARCÍA ROMERO LUIS ÁNGEL'!Área_de_impresión</vt:lpstr>
      <vt:lpstr>'HERNANDEZ JIMENEZ ARTURO'!Área_de_impresión</vt:lpstr>
      <vt:lpstr>'HIDALGO BAEZA MARIA DEL CARMEN'!Área_de_impresión</vt:lpstr>
      <vt:lpstr>'MARQUEZ SÁNCHEZ DANIEL MAURICIO'!Área_de_impresión</vt:lpstr>
      <vt:lpstr>'MONDRAGON DIEGO JOSE LUIS'!Área_de_impresión</vt:lpstr>
      <vt:lpstr>'MORENO LOAIZA CAROLINA'!Área_de_impresión</vt:lpstr>
      <vt:lpstr>'OLMOS ZARIÑAN GRISELDA'!Área_de_impresión</vt:lpstr>
      <vt:lpstr>'TELLEZ VELÁZQUEZ SERGIO'!Área_de_impresión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Oliver Raúl Velazquez Torres</cp:lastModifiedBy>
  <cp:lastPrinted>2024-11-29T23:41:29Z</cp:lastPrinted>
  <dcterms:created xsi:type="dcterms:W3CDTF">2012-10-01T15:59:21Z</dcterms:created>
  <dcterms:modified xsi:type="dcterms:W3CDTF">2025-03-09T14:40:05Z</dcterms:modified>
</cp:coreProperties>
</file>